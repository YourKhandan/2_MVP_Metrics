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tables/table16.xml" ContentType="application/vnd.openxmlformats-officedocument.spreadsheetml.table+xml"/>
  <Override PartName="/xl/comments1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xtras\Projects\Internship\MVP_Metrics\public\"/>
    </mc:Choice>
  </mc:AlternateContent>
  <xr:revisionPtr revIDLastSave="0" documentId="13_ncr:1_{946B32B4-D633-4355-BB81-75A303C5FC37}" xr6:coauthVersionLast="47" xr6:coauthVersionMax="47" xr10:uidLastSave="{00000000-0000-0000-0000-000000000000}"/>
  <bookViews>
    <workbookView xWindow="12708" yWindow="0" windowWidth="10428" windowHeight="12336" firstSheet="14" activeTab="14" xr2:uid="{00000000-000D-0000-FFFF-FFFF00000000}"/>
  </bookViews>
  <sheets>
    <sheet name="Start_Here" sheetId="1" r:id="rId1"/>
    <sheet name="Developer_Productivity_Brief" sheetId="2" r:id="rId2"/>
    <sheet name="Assignment_Steps" sheetId="3" r:id="rId3"/>
    <sheet name="AI_Guide" sheetId="4" r:id="rId4"/>
    <sheet name="Submission_Checklist" sheetId="5" r:id="rId5"/>
    <sheet name="Data_Model_Overview" sheetId="6" r:id="rId6"/>
    <sheet name="Data_Dictionary" sheetId="7" r:id="rId7"/>
    <sheet name="Dim_Developers" sheetId="8" r:id="rId8"/>
    <sheet name="Fact_Jira_Issues" sheetId="9" r:id="rId9"/>
    <sheet name="Fact_Pull_Requests" sheetId="10" r:id="rId10"/>
    <sheet name="Fact_CI_Deployments" sheetId="11" r:id="rId11"/>
    <sheet name="Fact_Bug_Reports" sheetId="12" r:id="rId12"/>
    <sheet name="Metric_Examples" sheetId="13" r:id="rId13"/>
    <sheet name="IC_Sample_View" sheetId="14" r:id="rId14"/>
    <sheet name="Manager_Sample_View" sheetId="15" r:id="rId15"/>
    <sheet name="Rubric" sheetId="16" r:id="rId16"/>
    <sheet name="Reviewer_Scorecard" sheetId="17" r:id="rId17"/>
    <sheet name="Reviewer_Guide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3" l="1"/>
  <c r="D12" i="17"/>
  <c r="D11" i="17"/>
  <c r="D10" i="17"/>
  <c r="D9" i="17"/>
  <c r="D8" i="17"/>
  <c r="D7" i="17"/>
  <c r="D13" i="17" s="1"/>
  <c r="G7" i="15"/>
  <c r="F7" i="15"/>
  <c r="E7" i="15"/>
  <c r="D7" i="15"/>
  <c r="G6" i="15"/>
  <c r="F6" i="15"/>
  <c r="E6" i="15"/>
  <c r="D6" i="15"/>
  <c r="G5" i="15"/>
  <c r="F5" i="15"/>
  <c r="E5" i="15"/>
  <c r="D5" i="15"/>
  <c r="G4" i="15"/>
  <c r="F4" i="15"/>
  <c r="E4" i="15"/>
  <c r="D4" i="15"/>
  <c r="G3" i="15"/>
  <c r="F3" i="15"/>
  <c r="E3" i="15"/>
  <c r="D3" i="15"/>
  <c r="G2" i="15"/>
  <c r="F2" i="15"/>
  <c r="E2" i="15"/>
  <c r="D2" i="15"/>
  <c r="B13" i="14"/>
  <c r="B12" i="14"/>
  <c r="B11" i="14"/>
  <c r="B10" i="14"/>
  <c r="B9" i="14"/>
  <c r="B14" i="14" s="1"/>
  <c r="B8" i="14"/>
  <c r="B7" i="14"/>
  <c r="N17" i="13"/>
  <c r="I17" i="13"/>
  <c r="H17" i="13"/>
  <c r="K17" i="13" s="1"/>
  <c r="G17" i="13"/>
  <c r="F17" i="13"/>
  <c r="J17" i="13" s="1"/>
  <c r="E17" i="13"/>
  <c r="D17" i="13"/>
  <c r="C17" i="13"/>
  <c r="N16" i="13"/>
  <c r="I16" i="13"/>
  <c r="H16" i="13"/>
  <c r="K16" i="13" s="1"/>
  <c r="G16" i="13"/>
  <c r="F16" i="13"/>
  <c r="J16" i="13" s="1"/>
  <c r="E16" i="13"/>
  <c r="D16" i="13"/>
  <c r="C16" i="13"/>
  <c r="N15" i="13"/>
  <c r="I15" i="13"/>
  <c r="H15" i="13"/>
  <c r="K15" i="13" s="1"/>
  <c r="G15" i="13"/>
  <c r="F15" i="13"/>
  <c r="J15" i="13" s="1"/>
  <c r="E15" i="13"/>
  <c r="D15" i="13"/>
  <c r="C15" i="13"/>
  <c r="N14" i="13"/>
  <c r="I14" i="13"/>
  <c r="H14" i="13"/>
  <c r="K14" i="13" s="1"/>
  <c r="G14" i="13"/>
  <c r="F14" i="13"/>
  <c r="J14" i="13" s="1"/>
  <c r="E14" i="13"/>
  <c r="D14" i="13"/>
  <c r="C14" i="13"/>
  <c r="N13" i="13"/>
  <c r="I13" i="13"/>
  <c r="H13" i="13"/>
  <c r="K13" i="13" s="1"/>
  <c r="G13" i="13"/>
  <c r="F13" i="13"/>
  <c r="J13" i="13" s="1"/>
  <c r="E13" i="13"/>
  <c r="D13" i="13"/>
  <c r="C13" i="13"/>
  <c r="N12" i="13"/>
  <c r="I12" i="13"/>
  <c r="H12" i="13"/>
  <c r="K12" i="13" s="1"/>
  <c r="G12" i="13"/>
  <c r="F12" i="13"/>
  <c r="J12" i="13" s="1"/>
  <c r="E12" i="13"/>
  <c r="D12" i="13"/>
  <c r="C12" i="13"/>
  <c r="N11" i="13"/>
  <c r="I11" i="13"/>
  <c r="H11" i="13"/>
  <c r="K11" i="13" s="1"/>
  <c r="G11" i="13"/>
  <c r="F11" i="13"/>
  <c r="J11" i="13" s="1"/>
  <c r="E11" i="13"/>
  <c r="D11" i="13"/>
  <c r="C11" i="13"/>
  <c r="N10" i="13"/>
  <c r="I10" i="13"/>
  <c r="H10" i="13"/>
  <c r="K10" i="13" s="1"/>
  <c r="G10" i="13"/>
  <c r="F10" i="13"/>
  <c r="J10" i="13" s="1"/>
  <c r="E10" i="13"/>
  <c r="D10" i="13"/>
  <c r="C10" i="13"/>
  <c r="N9" i="13"/>
  <c r="I9" i="13"/>
  <c r="H9" i="13"/>
  <c r="K9" i="13" s="1"/>
  <c r="G9" i="13"/>
  <c r="F9" i="13"/>
  <c r="J9" i="13" s="1"/>
  <c r="E9" i="13"/>
  <c r="D9" i="13"/>
  <c r="C9" i="13"/>
  <c r="N8" i="13"/>
  <c r="I8" i="13"/>
  <c r="H8" i="13"/>
  <c r="K8" i="13" s="1"/>
  <c r="G8" i="13"/>
  <c r="F8" i="13"/>
  <c r="J8" i="13" s="1"/>
  <c r="E8" i="13"/>
  <c r="D8" i="13"/>
  <c r="C8" i="13"/>
  <c r="N7" i="13"/>
  <c r="I7" i="13"/>
  <c r="H7" i="13"/>
  <c r="K7" i="13" s="1"/>
  <c r="G7" i="13"/>
  <c r="F7" i="13"/>
  <c r="J7" i="13" s="1"/>
  <c r="E7" i="13"/>
  <c r="D7" i="13"/>
  <c r="C7" i="13"/>
  <c r="N6" i="13"/>
  <c r="I6" i="13"/>
  <c r="H6" i="13"/>
  <c r="K6" i="13" s="1"/>
  <c r="G6" i="13"/>
  <c r="F6" i="13"/>
  <c r="J6" i="13" s="1"/>
  <c r="E6" i="13"/>
  <c r="D6" i="13"/>
  <c r="C6" i="13"/>
  <c r="N5" i="13"/>
  <c r="I5" i="13"/>
  <c r="H5" i="13"/>
  <c r="K5" i="13" s="1"/>
  <c r="G5" i="13"/>
  <c r="F5" i="13"/>
  <c r="J5" i="13" s="1"/>
  <c r="E5" i="13"/>
  <c r="D5" i="13"/>
  <c r="C5" i="13"/>
  <c r="N4" i="13"/>
  <c r="I4" i="13"/>
  <c r="H4" i="13"/>
  <c r="K4" i="13" s="1"/>
  <c r="G4" i="13"/>
  <c r="F4" i="13"/>
  <c r="J4" i="13" s="1"/>
  <c r="E4" i="13"/>
  <c r="D4" i="13"/>
  <c r="C4" i="13"/>
  <c r="N3" i="13"/>
  <c r="I3" i="13"/>
  <c r="H3" i="13"/>
  <c r="K3" i="13" s="1"/>
  <c r="G3" i="13"/>
  <c r="F3" i="13"/>
  <c r="J3" i="13" s="1"/>
  <c r="E3" i="13"/>
  <c r="D3" i="13"/>
  <c r="C3" i="13"/>
  <c r="N2" i="13"/>
  <c r="I2" i="13"/>
  <c r="H2" i="13"/>
  <c r="K2" i="13" s="1"/>
  <c r="G2" i="13"/>
  <c r="F2" i="13"/>
  <c r="E2" i="13"/>
  <c r="D2" i="13"/>
  <c r="C2" i="13"/>
  <c r="H3" i="15" l="1"/>
  <c r="H4" i="15"/>
  <c r="H7" i="15"/>
  <c r="H5" i="15"/>
  <c r="H2" i="15"/>
  <c r="H6" i="15"/>
  <c r="M10" i="13"/>
  <c r="L2" i="13"/>
  <c r="M2" i="13" s="1"/>
  <c r="L3" i="13"/>
  <c r="M3" i="13" s="1"/>
  <c r="L4" i="13"/>
  <c r="M4" i="13" s="1"/>
  <c r="L5" i="13"/>
  <c r="M5" i="13" s="1"/>
  <c r="L6" i="13"/>
  <c r="M6" i="13" s="1"/>
  <c r="L7" i="13"/>
  <c r="M7" i="13" s="1"/>
  <c r="L8" i="13"/>
  <c r="M8" i="13" s="1"/>
  <c r="L9" i="13"/>
  <c r="M9" i="13" s="1"/>
  <c r="L10" i="13"/>
  <c r="L11" i="13"/>
  <c r="M11" i="13" s="1"/>
  <c r="L12" i="13"/>
  <c r="M12" i="13" s="1"/>
  <c r="L13" i="13"/>
  <c r="M13" i="13" s="1"/>
  <c r="L14" i="13"/>
  <c r="M14" i="13" s="1"/>
  <c r="L15" i="13"/>
  <c r="M15" i="13" s="1"/>
  <c r="L16" i="13"/>
  <c r="M16" i="13" s="1"/>
  <c r="L17" i="13"/>
  <c r="M1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Lead time is simplified for this assignment as PR opened_at to successful production deployment completed_at.</t>
        </r>
      </text>
    </comment>
    <comment ref="L1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Bug rate = escaped production bugs found in the month / issues completed in the month.</t>
        </r>
      </text>
    </comment>
  </commentList>
</comments>
</file>

<file path=xl/sharedStrings.xml><?xml version="1.0" encoding="utf-8"?>
<sst xmlns="http://schemas.openxmlformats.org/spreadsheetml/2006/main" count="1463" uniqueCount="460">
  <si>
    <t>Developer Productivity MVP — Intern Assignment Pack</t>
  </si>
  <si>
    <t>This workbook is designed for freshers. Read the first 5 sheets in order before you start building anything.</t>
  </si>
  <si>
    <t>Item</t>
  </si>
  <si>
    <t>Explanation</t>
  </si>
  <si>
    <t>Why it matters</t>
  </si>
  <si>
    <t>What you are building</t>
  </si>
  <si>
    <t>A small MVP that helps a developer understand their metrics, interpret likely causes, and see one or two practical next steps.</t>
  </si>
  <si>
    <t>We want to see product thinking, not just dashboards.</t>
  </si>
  <si>
    <t>Recommended user</t>
  </si>
  <si>
    <t>Start with one Individual Contributor (IC). If time permits, add a simple manager summary.</t>
  </si>
  <si>
    <t>A smaller focused solution usually performs better.</t>
  </si>
  <si>
    <t>Required stack</t>
  </si>
  <si>
    <t>Use React.js for the front end. You may choose any reasonable backend, database, or mock server.</t>
  </si>
  <si>
    <t>We want to evaluate core software development ability.</t>
  </si>
  <si>
    <t>What success looks like</t>
  </si>
  <si>
    <t>A clean flow, reasonable metric logic, and a demo you can explain confidently.</t>
  </si>
  <si>
    <t>Clarity matters more than complexity.</t>
  </si>
  <si>
    <t>Main warning</t>
  </si>
  <si>
    <t>Do not over-scope. Do not build a giant analytics platform. Do not hide behind AI-generated code you cannot explain.</t>
  </si>
  <si>
    <t>Good judgment is part of the assignment.</t>
  </si>
  <si>
    <t>Read these sheets in order</t>
  </si>
  <si>
    <t>Sheet</t>
  </si>
  <si>
    <t>How to use it</t>
  </si>
  <si>
    <t>Developer_Productivity_Brief</t>
  </si>
  <si>
    <t>Understand the domain: who a developer is, what SDLC means, and why these 5 metrics matter.</t>
  </si>
  <si>
    <t>Assignment_Steps</t>
  </si>
  <si>
    <t>Follow these steps if you are unsure how to approach the assignment.</t>
  </si>
  <si>
    <t>AI_Guide</t>
  </si>
  <si>
    <t>Use AI to understand and accelerate. Do not let AI replace your thinking.</t>
  </si>
  <si>
    <t>Data_Model_Overview</t>
  </si>
  <si>
    <t>See how the source tables fit together.</t>
  </si>
  <si>
    <t>Metric_Examples</t>
  </si>
  <si>
    <t>Understand one simple way to calculate the assignment metrics.</t>
  </si>
  <si>
    <t>Developer Productivity Brief</t>
  </si>
  <si>
    <t>This gives you enough context to understand the assignment even if you have never worked on a software engineering product before.</t>
  </si>
  <si>
    <t>Topic</t>
  </si>
  <si>
    <t>Plain-English explanation</t>
  </si>
  <si>
    <t>Who is a developer?</t>
  </si>
  <si>
    <t>A developer is someone who builds and changes software. They write code, review code, test changes, and ship releases with a team.</t>
  </si>
  <si>
    <t>The product you build should help this user make better decisions.</t>
  </si>
  <si>
    <t>What is SDLC?</t>
  </si>
  <si>
    <t>SDLC stands for Software Development Life Cycle. In simple terms: plan work, pick up a ticket, write code, review code, test it, deploy it, and fix issues after release.</t>
  </si>
  <si>
    <t>The metrics in this assignment come from these SDLC steps.</t>
  </si>
  <si>
    <t>Why do teams use developer productivity metrics?</t>
  </si>
  <si>
    <t>Good teams use metrics to find bottlenecks, improve quality, and make delivery healthier. They should not use them blindly to judge people.</t>
  </si>
  <si>
    <t>Your solution should feel helpful, not punitive.</t>
  </si>
  <si>
    <t>What is the actual product challenge?</t>
  </si>
  <si>
    <t>Metrics tell you what happened. A better product helps the user interpret those metrics and decide what to do next.</t>
  </si>
  <si>
    <t>This is the key problem you are solving.</t>
  </si>
  <si>
    <t>The 5 metrics in this assignment</t>
  </si>
  <si>
    <t>Metric</t>
  </si>
  <si>
    <t>What it means in this workbook</t>
  </si>
  <si>
    <t>Why a developer should care</t>
  </si>
  <si>
    <t>Main source tables</t>
  </si>
  <si>
    <t>Lead Time for Changes</t>
  </si>
  <si>
    <t>Average time from PR opened to successful production deployment.</t>
  </si>
  <si>
    <t>Tells how long a change takes to reach users once the review process begins.</t>
  </si>
  <si>
    <t>Fact_Pull_Requests + Fact_CI_Deployments</t>
  </si>
  <si>
    <t>Cycle Time</t>
  </si>
  <si>
    <t>Average time from issue moved to In Progress to issue marked Done.</t>
  </si>
  <si>
    <t>Shows how long work stays active once development starts.</t>
  </si>
  <si>
    <t>Fact_Jira_Issues</t>
  </si>
  <si>
    <t>Bug Rate</t>
  </si>
  <si>
    <t>Escaped production bugs found in the month divided by issues completed in the month.</t>
  </si>
  <si>
    <t>Shows whether speed is hurting quality.</t>
  </si>
  <si>
    <t>Fact_Bug_Reports + Fact_Jira_Issues</t>
  </si>
  <si>
    <t>Deployment Frequency</t>
  </si>
  <si>
    <t>Count of successful production deployments in the month.</t>
  </si>
  <si>
    <t>Frequent safe releases often indicate a healthier delivery loop.</t>
  </si>
  <si>
    <t>Fact_CI_Deployments</t>
  </si>
  <si>
    <t>PR Throughput</t>
  </si>
  <si>
    <t>Count of merged pull requests in the month.</t>
  </si>
  <si>
    <t>Useful as an activity signal, but weak if used without quality and speed metrics.</t>
  </si>
  <si>
    <t>Fact_Pull_Requests</t>
  </si>
  <si>
    <t>Step-by-Step Assignment Guide</t>
  </si>
  <si>
    <t>Follow these steps in order. This is designed to reduce confusion and keep your MVP manageable.</t>
  </si>
  <si>
    <t>Step</t>
  </si>
  <si>
    <t>What you should do</t>
  </si>
  <si>
    <t>Expected output</t>
  </si>
  <si>
    <t>1. Understand the problem</t>
  </si>
  <si>
    <t>Read Start_Here and Developer_Productivity_Brief. Then write a short note in your own words: What problem are we solving for a developer?</t>
  </si>
  <si>
    <t>A 3–5 line problem summary for yourself.</t>
  </si>
  <si>
    <t>2. Understand the source tables</t>
  </si>
  <si>
    <t>Open Data_Model_Overview, Data_Dictionary, and the Fact_* sheets. Identify which tables you need for your MVP.</t>
  </si>
  <si>
    <t>A list of tables and fields you will use.</t>
  </si>
  <si>
    <t>3. Understand the metrics</t>
  </si>
  <si>
    <t>Open Metric_Examples and verify how the sample metrics were calculated.</t>
  </si>
  <si>
    <t>A metric plan that you can explain.</t>
  </si>
  <si>
    <t>4. Choose your MVP journey</t>
  </si>
  <si>
    <t>Recommended path: one IC sees their metrics, gets a short interpretation, and sees next steps. Optionally add a manager page.</t>
  </si>
  <si>
    <t>A scoped MVP.</t>
  </si>
  <si>
    <t>5. Use AI responsibly</t>
  </si>
  <si>
    <t>Ask AI to explain the domain, suggest architecture, and help with code or debugging. Keep only what you understand.</t>
  </si>
  <si>
    <t>A clearer implementation plan.</t>
  </si>
  <si>
    <t>6. Build the MVP</t>
  </si>
  <si>
    <t>Use React.js on the front end. Add a backend/API or mock service. Load the sample data and show one reasoning layer, not just charts.</t>
  </si>
  <si>
    <t>A working prototype.</t>
  </si>
  <si>
    <t>7. Create the Miro board</t>
  </si>
  <si>
    <t>Use the free Miro template called User Journey. Fill the main sections based on your chosen flow.</t>
  </si>
  <si>
    <t>A Miro board link.</t>
  </si>
  <si>
    <t>8. Record the video</t>
  </si>
  <si>
    <t>Record a 5–10 minute walkthrough in clear audio and good lighting. Show the problem, your MVP, and a short demo.</t>
  </si>
  <si>
    <t>A Google Drive video link.</t>
  </si>
  <si>
    <t>AI Use Guide</t>
  </si>
  <si>
    <t>AI is allowed and encouraged. Use it to understand the problem faster, explore options, and debug. But the final thinking must still be yours.</t>
  </si>
  <si>
    <t>Category</t>
  </si>
  <si>
    <t>Guidance</t>
  </si>
  <si>
    <t>AI can help with</t>
  </si>
  <si>
    <t>Explaining SDLC and the metrics, summarizing the workbook, proposing a React + backend architecture, suggesting UI ideas, generating boilerplate code, debugging, writing tests, and improving wording.</t>
  </si>
  <si>
    <t>You must do yourself</t>
  </si>
  <si>
    <t>Choose the MVP scope, verify the metric logic, decide the product flow, understand the code, and explain why your solution makes sense.</t>
  </si>
  <si>
    <t>Avoid this</t>
  </si>
  <si>
    <t>Do not submit a generic AI-built dashboard. Do not trust hallucinated metric logic. Do not present code that you cannot explain.</t>
  </si>
  <si>
    <t>What we will evaluate</t>
  </si>
  <si>
    <t>How well you understood the problem, the quality of your decisions, and whether you can explain your implementation clearly.</t>
  </si>
  <si>
    <t>Suggested prompts to ask an AI tool</t>
  </si>
  <si>
    <t>Prompt label</t>
  </si>
  <si>
    <t>Prompt</t>
  </si>
  <si>
    <t>Understand the problem</t>
  </si>
  <si>
    <t>Summarize this assignment for a fresher in plain English. Explain the problem before suggesting a solution.</t>
  </si>
  <si>
    <t>Understand the data</t>
  </si>
  <si>
    <t>Explain how these source tables connect to the 5 developer productivity metrics in the workbook.</t>
  </si>
  <si>
    <t>Architecture</t>
  </si>
  <si>
    <t>Suggest a simple React + backend architecture for this MVP. Keep the scope small and interview-friendly.</t>
  </si>
  <si>
    <t>MVP scoping</t>
  </si>
  <si>
    <t>Given 2–3 days, what is the smallest credible MVP I can build for this assignment?</t>
  </si>
  <si>
    <t>Demo prep</t>
  </si>
  <si>
    <t>Help me structure a 5–10 minute demo video for this assignment.</t>
  </si>
  <si>
    <t>Submission Checklist</t>
  </si>
  <si>
    <t>Keep the submission simple and easy for reviewers to access.</t>
  </si>
  <si>
    <t>Deliverable</t>
  </si>
  <si>
    <t>Requirement</t>
  </si>
  <si>
    <t>Required?</t>
  </si>
  <si>
    <t>Video walkthrough</t>
  </si>
  <si>
    <t>5–10 minutes. Clear audio and clear lighting. Upload to Google Drive.</t>
  </si>
  <si>
    <t>Yes</t>
  </si>
  <si>
    <t>Video access check</t>
  </si>
  <si>
    <t>Open the Google Drive link in incognito and confirm that reviewers can access it.</t>
  </si>
  <si>
    <t>Miro board</t>
  </si>
  <si>
    <t>Use the free Miro template called User Journey. Fill the main sections.</t>
  </si>
  <si>
    <t>Miro access check</t>
  </si>
  <si>
    <t>Confirm that reviewers can view your Miro board.</t>
  </si>
  <si>
    <t>Prototype demo</t>
  </si>
  <si>
    <t>Show the working prototype briefly in the video.</t>
  </si>
  <si>
    <t>Code repository or deployed link</t>
  </si>
  <si>
    <t>Optional but strongly recommended for technical review.</t>
  </si>
  <si>
    <t>Recommended</t>
  </si>
  <si>
    <t>AI usage note</t>
  </si>
  <si>
    <t>Briefly state what AI tools you used and how you used them.</t>
  </si>
  <si>
    <t>Data Model Overview</t>
  </si>
  <si>
    <t>Think of these sheets as source tables from different systems such as Jira, GitHub, and CI/CD.</t>
  </si>
  <si>
    <t>Table</t>
  </si>
  <si>
    <t>What it represents</t>
  </si>
  <si>
    <t>Useful for</t>
  </si>
  <si>
    <t>Dim_Developers</t>
  </si>
  <si>
    <t>Reference data for developer, manager, team, role level, and service type.</t>
  </si>
  <si>
    <t>User profile, joins, manager view.</t>
  </si>
  <si>
    <t>Ticketing data similar to Jira work items.</t>
  </si>
  <si>
    <t>Cycle time, issue count, bug-rate denominator.</t>
  </si>
  <si>
    <t>Source-control data similar to GitHub pull requests.</t>
  </si>
  <si>
    <t>Lead time input, review delay, PR throughput.</t>
  </si>
  <si>
    <t>Deployment records from CI/CD.</t>
  </si>
  <si>
    <t>Lead time and deployment frequency.</t>
  </si>
  <si>
    <t>Fact_Bug_Reports</t>
  </si>
  <si>
    <t>Bugs found after release.</t>
  </si>
  <si>
    <t>Bug rate and quality signals.</t>
  </si>
  <si>
    <t>A sample calculation sheet built from the source tables.</t>
  </si>
  <si>
    <t>Reference logic only.</t>
  </si>
  <si>
    <t>Data Dictionary</t>
  </si>
  <si>
    <t>Use this when you are unsure what a field means.</t>
  </si>
  <si>
    <t>Field</t>
  </si>
  <si>
    <t>Meaning</t>
  </si>
  <si>
    <t>Common use</t>
  </si>
  <si>
    <t>developer_id</t>
  </si>
  <si>
    <t>Unique developer identifier used across tables.</t>
  </si>
  <si>
    <t>Join key</t>
  </si>
  <si>
    <t>manager_name</t>
  </si>
  <si>
    <t>Manager or team lead name.</t>
  </si>
  <si>
    <t>Manager summary</t>
  </si>
  <si>
    <t>in_progress_at</t>
  </si>
  <si>
    <t>When active development started on the issue.</t>
  </si>
  <si>
    <t>Cycle time</t>
  </si>
  <si>
    <t>done_at</t>
  </si>
  <si>
    <t>When the issue was completed.</t>
  </si>
  <si>
    <t>Cycle time, completed issue count</t>
  </si>
  <si>
    <t>cycle_time_days</t>
  </si>
  <si>
    <t>Helper column = done_at - in_progress_at.</t>
  </si>
  <si>
    <t>opened_at</t>
  </si>
  <si>
    <t>When the pull request was opened.</t>
  </si>
  <si>
    <t>Lead time</t>
  </si>
  <si>
    <t>first_review_at</t>
  </si>
  <si>
    <t>When first review feedback arrived.</t>
  </si>
  <si>
    <t>Review delay</t>
  </si>
  <si>
    <t>merged_at</t>
  </si>
  <si>
    <t>When the PR merged.</t>
  </si>
  <si>
    <t>Lead time, PR throughput</t>
  </si>
  <si>
    <t>review_wait_hours</t>
  </si>
  <si>
    <t>Helper column = first_review_at - opened_at.</t>
  </si>
  <si>
    <t>Reasoning layer</t>
  </si>
  <si>
    <t>completed_at</t>
  </si>
  <si>
    <t>When the production deployment completed.</t>
  </si>
  <si>
    <t>Lead time, deployment frequency</t>
  </si>
  <si>
    <t>lead_time_days</t>
  </si>
  <si>
    <t>Helper column = deployment completed_at - PR opened_at.</t>
  </si>
  <si>
    <t>escaped_to_prod</t>
  </si>
  <si>
    <t>Whether the bug was found after release.</t>
  </si>
  <si>
    <t>Bug-rate numerator</t>
  </si>
  <si>
    <t>month_found</t>
  </si>
  <si>
    <t>Month when the bug was found.</t>
  </si>
  <si>
    <t>Monthly grouping</t>
  </si>
  <si>
    <t>developer_name</t>
  </si>
  <si>
    <t>manager_id</t>
  </si>
  <si>
    <t>team_name</t>
  </si>
  <si>
    <t>service_type</t>
  </si>
  <si>
    <t>level</t>
  </si>
  <si>
    <t>DEV-001</t>
  </si>
  <si>
    <t>Ava Chen</t>
  </si>
  <si>
    <t>MGR-01</t>
  </si>
  <si>
    <t>Rina Kapoor</t>
  </si>
  <si>
    <t>Payments API</t>
  </si>
  <si>
    <t>backend</t>
  </si>
  <si>
    <t>SDE2</t>
  </si>
  <si>
    <t>DEV-002</t>
  </si>
  <si>
    <t>Noah Patel</t>
  </si>
  <si>
    <t>SDE1</t>
  </si>
  <si>
    <t>DEV-006</t>
  </si>
  <si>
    <t>Ishan Mehta</t>
  </si>
  <si>
    <t>SDE3</t>
  </si>
  <si>
    <t>DEV-003</t>
  </si>
  <si>
    <t>Mia Lopez</t>
  </si>
  <si>
    <t>MGR-02</t>
  </si>
  <si>
    <t>Samir Gupta</t>
  </si>
  <si>
    <t>Checkout Web</t>
  </si>
  <si>
    <t>frontend</t>
  </si>
  <si>
    <t>DEV-004</t>
  </si>
  <si>
    <t>Lucas Reed</t>
  </si>
  <si>
    <t>DEV-008</t>
  </si>
  <si>
    <t>Zara Khan</t>
  </si>
  <si>
    <t>DEV-005</t>
  </si>
  <si>
    <t>Emma Roy</t>
  </si>
  <si>
    <t>MGR-03</t>
  </si>
  <si>
    <t>Priya Nair</t>
  </si>
  <si>
    <t>Mobile Growth</t>
  </si>
  <si>
    <t>mobile</t>
  </si>
  <si>
    <t>DEV-007</t>
  </si>
  <si>
    <t>Owen Brooks</t>
  </si>
  <si>
    <t>issue_id</t>
  </si>
  <si>
    <t>issue_type</t>
  </si>
  <si>
    <t>story_points</t>
  </si>
  <si>
    <t>created_at</t>
  </si>
  <si>
    <t>code_complete_at</t>
  </si>
  <si>
    <t>status</t>
  </si>
  <si>
    <t>month_done</t>
  </si>
  <si>
    <t>JIRA-001</t>
  </si>
  <si>
    <t>Story</t>
  </si>
  <si>
    <t>Done</t>
  </si>
  <si>
    <t>2026-03</t>
  </si>
  <si>
    <t>JIRA-002</t>
  </si>
  <si>
    <t>JIRA-003</t>
  </si>
  <si>
    <t>Task</t>
  </si>
  <si>
    <t>2026-04</t>
  </si>
  <si>
    <t>JIRA-004</t>
  </si>
  <si>
    <t>JIRA-005</t>
  </si>
  <si>
    <t>JIRA-006</t>
  </si>
  <si>
    <t>Improvement</t>
  </si>
  <si>
    <t>JIRA-007</t>
  </si>
  <si>
    <t>JIRA-008</t>
  </si>
  <si>
    <t>JIRA-009</t>
  </si>
  <si>
    <t>JIRA-010</t>
  </si>
  <si>
    <t>JIRA-011</t>
  </si>
  <si>
    <t>JIRA-012</t>
  </si>
  <si>
    <t>JIRA-013</t>
  </si>
  <si>
    <t>JIRA-014</t>
  </si>
  <si>
    <t>JIRA-015</t>
  </si>
  <si>
    <t>JIRA-016</t>
  </si>
  <si>
    <t>JIRA-017</t>
  </si>
  <si>
    <t>JIRA-018</t>
  </si>
  <si>
    <t>JIRA-019</t>
  </si>
  <si>
    <t>JIRA-020</t>
  </si>
  <si>
    <t>JIRA-021</t>
  </si>
  <si>
    <t>JIRA-022</t>
  </si>
  <si>
    <t>JIRA-023</t>
  </si>
  <si>
    <t>JIRA-024</t>
  </si>
  <si>
    <t>JIRA-025</t>
  </si>
  <si>
    <t>JIRA-026</t>
  </si>
  <si>
    <t>JIRA-027</t>
  </si>
  <si>
    <t>JIRA-028</t>
  </si>
  <si>
    <t>JIRA-029</t>
  </si>
  <si>
    <t>JIRA-030</t>
  </si>
  <si>
    <t>JIRA-031</t>
  </si>
  <si>
    <t>JIRA-032</t>
  </si>
  <si>
    <t>pr_id</t>
  </si>
  <si>
    <t>approved_at</t>
  </si>
  <si>
    <t>month_merged</t>
  </si>
  <si>
    <t>merge_time_hours</t>
  </si>
  <si>
    <t>lines_changed</t>
  </si>
  <si>
    <t>review_rounds</t>
  </si>
  <si>
    <t>PR-001</t>
  </si>
  <si>
    <t>merged</t>
  </si>
  <si>
    <t>PR-002</t>
  </si>
  <si>
    <t>PR-003</t>
  </si>
  <si>
    <t>PR-004</t>
  </si>
  <si>
    <t>PR-005</t>
  </si>
  <si>
    <t>PR-006</t>
  </si>
  <si>
    <t>PR-007</t>
  </si>
  <si>
    <t>PR-008</t>
  </si>
  <si>
    <t>PR-009</t>
  </si>
  <si>
    <t>PR-010</t>
  </si>
  <si>
    <t>PR-011</t>
  </si>
  <si>
    <t>PR-012</t>
  </si>
  <si>
    <t>PR-013</t>
  </si>
  <si>
    <t>PR-014</t>
  </si>
  <si>
    <t>PR-015</t>
  </si>
  <si>
    <t>PR-016</t>
  </si>
  <si>
    <t>PR-017</t>
  </si>
  <si>
    <t>PR-018</t>
  </si>
  <si>
    <t>PR-019</t>
  </si>
  <si>
    <t>PR-020</t>
  </si>
  <si>
    <t>PR-021</t>
  </si>
  <si>
    <t>PR-022</t>
  </si>
  <si>
    <t>PR-023</t>
  </si>
  <si>
    <t>PR-024</t>
  </si>
  <si>
    <t>PR-025</t>
  </si>
  <si>
    <t>PR-026</t>
  </si>
  <si>
    <t>PR-027</t>
  </si>
  <si>
    <t>PR-028</t>
  </si>
  <si>
    <t>PR-029</t>
  </si>
  <si>
    <t>PR-030</t>
  </si>
  <si>
    <t>PR-031</t>
  </si>
  <si>
    <t>PR-032</t>
  </si>
  <si>
    <t>deployment_id</t>
  </si>
  <si>
    <t>environment</t>
  </si>
  <si>
    <t>started_at</t>
  </si>
  <si>
    <t>month_deployed</t>
  </si>
  <si>
    <t>release_type</t>
  </si>
  <si>
    <t>DEP-001</t>
  </si>
  <si>
    <t>prod</t>
  </si>
  <si>
    <t>success</t>
  </si>
  <si>
    <t>standard</t>
  </si>
  <si>
    <t>DEP-002</t>
  </si>
  <si>
    <t>DEP-003</t>
  </si>
  <si>
    <t>hotfix</t>
  </si>
  <si>
    <t>DEP-004</t>
  </si>
  <si>
    <t>DEP-005</t>
  </si>
  <si>
    <t>DEP-006</t>
  </si>
  <si>
    <t>DEP-007</t>
  </si>
  <si>
    <t>DEP-008</t>
  </si>
  <si>
    <t>DEP-009</t>
  </si>
  <si>
    <t>DEP-010</t>
  </si>
  <si>
    <t>DEP-011</t>
  </si>
  <si>
    <t>DEP-012</t>
  </si>
  <si>
    <t>DEP-013</t>
  </si>
  <si>
    <t>DEP-014</t>
  </si>
  <si>
    <t>DEP-015</t>
  </si>
  <si>
    <t>DEP-016</t>
  </si>
  <si>
    <t>DEP-017</t>
  </si>
  <si>
    <t>DEP-018</t>
  </si>
  <si>
    <t>DEP-019</t>
  </si>
  <si>
    <t>DEP-020</t>
  </si>
  <si>
    <t>DEP-021</t>
  </si>
  <si>
    <t>DEP-022</t>
  </si>
  <si>
    <t>DEP-023</t>
  </si>
  <si>
    <t>DEP-024</t>
  </si>
  <si>
    <t>DEP-025</t>
  </si>
  <si>
    <t>DEP-026</t>
  </si>
  <si>
    <t>DEP-027</t>
  </si>
  <si>
    <t>DEP-028</t>
  </si>
  <si>
    <t>DEP-029</t>
  </si>
  <si>
    <t>DEP-030</t>
  </si>
  <si>
    <t>DEP-031</t>
  </si>
  <si>
    <t>DEP-032</t>
  </si>
  <si>
    <t>bug_id</t>
  </si>
  <si>
    <t>linked_issue_id</t>
  </si>
  <si>
    <t>found_at</t>
  </si>
  <si>
    <t>severity</t>
  </si>
  <si>
    <t>root_cause_bucket</t>
  </si>
  <si>
    <t>BUG-001</t>
  </si>
  <si>
    <t>medium</t>
  </si>
  <si>
    <t>Open</t>
  </si>
  <si>
    <t>test gap</t>
  </si>
  <si>
    <t>BUG-002</t>
  </si>
  <si>
    <t>low</t>
  </si>
  <si>
    <t>release config</t>
  </si>
  <si>
    <t>BUG-003</t>
  </si>
  <si>
    <t>high</t>
  </si>
  <si>
    <t>edge case</t>
  </si>
  <si>
    <t>BUG-004</t>
  </si>
  <si>
    <t>Closed</t>
  </si>
  <si>
    <t>BUG-005</t>
  </si>
  <si>
    <t>BUG-006</t>
  </si>
  <si>
    <t>month</t>
  </si>
  <si>
    <t>issues_done</t>
  </si>
  <si>
    <t>merged_prs</t>
  </si>
  <si>
    <t>prod_deployments</t>
  </si>
  <si>
    <t>escaped_bugs</t>
  </si>
  <si>
    <t>avg_cycle_time_days</t>
  </si>
  <si>
    <t>avg_lead_time_days</t>
  </si>
  <si>
    <t>bug_rate_pct</t>
  </si>
  <si>
    <t>pattern_hint</t>
  </si>
  <si>
    <t>dev_month_key</t>
  </si>
  <si>
    <t>IC Sample View</t>
  </si>
  <si>
    <t>This is an example output style. You can design the product differently if your reasoning is clear.</t>
  </si>
  <si>
    <t>Selected developer</t>
  </si>
  <si>
    <t>Selected month</t>
  </si>
  <si>
    <t>Example interpretation</t>
  </si>
  <si>
    <t>Developer name</t>
  </si>
  <si>
    <t>This developer can merge work, but the total time to reach production is still slower than ideal. The product should help the user ask what is causing that delay.</t>
  </si>
  <si>
    <t>Team</t>
  </si>
  <si>
    <t>Lead time (days)</t>
  </si>
  <si>
    <t>Example next steps</t>
  </si>
  <si>
    <t>Cycle time (days)</t>
  </si>
  <si>
    <t>1. Reduce PR size or ticket scope so feedback arrives faster.</t>
  </si>
  <si>
    <t>PR throughput</t>
  </si>
  <si>
    <t>2. Separate review delay from deployment delay before prescribing a fix.</t>
  </si>
  <si>
    <t>Deployment frequency</t>
  </si>
  <si>
    <t>3. Add one quality safeguard if the bug rate rises.</t>
  </si>
  <si>
    <t>Bug rate</t>
  </si>
  <si>
    <t>Pattern hint</t>
  </si>
  <si>
    <t>team_size</t>
  </si>
  <si>
    <t>avg_bug_rate_pct</t>
  </si>
  <si>
    <t>signal</t>
  </si>
  <si>
    <t>Evaluation Rubric</t>
  </si>
  <si>
    <t>This is for the reviewer, but candidates can also read it to understand what matters.</t>
  </si>
  <si>
    <t>What good looks like</t>
  </si>
  <si>
    <t>Weight</t>
  </si>
  <si>
    <t>Problem understanding</t>
  </si>
  <si>
    <t>Explains the developer problem clearly and chooses a sensible scope.</t>
  </si>
  <si>
    <t>20%</t>
  </si>
  <si>
    <t>Product thinking</t>
  </si>
  <si>
    <t>Shows a coherent user journey and useful reasoning, not just charts.</t>
  </si>
  <si>
    <t>Frontend quality</t>
  </si>
  <si>
    <t>React app is clear, usable, and easy to follow.</t>
  </si>
  <si>
    <t>15%</t>
  </si>
  <si>
    <t>Backend / data handling</t>
  </si>
  <si>
    <t>Uses the sample data sensibly and keeps the implementation simple.</t>
  </si>
  <si>
    <t>Communication</t>
  </si>
  <si>
    <t>Video is clear, structured, and understandable.</t>
  </si>
  <si>
    <t>AI usage discipline</t>
  </si>
  <si>
    <t>Used AI well without losing originality or understanding.</t>
  </si>
  <si>
    <t>Reviewer Scorecard</t>
  </si>
  <si>
    <t>Enter scores from 1 to 5. Weighted total calculates automatically.</t>
  </si>
  <si>
    <t>Candidate name</t>
  </si>
  <si>
    <t>Reviewer</t>
  </si>
  <si>
    <t>Score (1-5)</t>
  </si>
  <si>
    <t>Weighted score</t>
  </si>
  <si>
    <t>Notes</t>
  </si>
  <si>
    <t>Total</t>
  </si>
  <si>
    <t>Reviewer Guide</t>
  </si>
  <si>
    <t>Use this to keep interviews aligned.</t>
  </si>
  <si>
    <t>What to listen for</t>
  </si>
  <si>
    <t>Can the candidate explain the problem in plain English?</t>
  </si>
  <si>
    <t>They should explain the user problem before talking about the tech stack.</t>
  </si>
  <si>
    <t>Did the candidate choose a reasonable MVP?</t>
  </si>
  <si>
    <t>A thoughtful small solution should score better than an unfinished big idea.</t>
  </si>
  <si>
    <t>Do they understand the metrics?</t>
  </si>
  <si>
    <t>They should know what they calculated and why it matters.</t>
  </si>
  <si>
    <t>Can they explain their code and AI use?</t>
  </si>
  <si>
    <t>AI use is fine, but they must understand what they built.</t>
  </si>
  <si>
    <t>Does the product feel helpful?</t>
  </si>
  <si>
    <t>The product should guide a developer, not only report numbers.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</si>
</sst>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0.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3"/>
      <color rgb="FF1F4E78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5F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/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0" fontId="5" fillId="3" borderId="0" xfId="0" applyFont="1" applyFill="1"/>
    <xf numFmtId="0" fontId="0" fillId="4" borderId="0" xfId="0" applyFill="1"/>
    <xf numFmtId="0" fontId="5" fillId="5" borderId="0" xfId="0" applyFont="1" applyFill="1" applyAlignment="1">
      <alignment wrapText="1"/>
    </xf>
    <xf numFmtId="0" fontId="0" fillId="6" borderId="0" xfId="0" applyFill="1" applyAlignment="1">
      <alignment wrapText="1"/>
    </xf>
    <xf numFmtId="165" fontId="0" fillId="6" borderId="0" xfId="0" applyNumberFormat="1" applyFill="1" applyAlignment="1">
      <alignment wrapText="1"/>
    </xf>
    <xf numFmtId="166" fontId="0" fillId="6" borderId="0" xfId="0" applyNumberFormat="1" applyFill="1" applyAlignment="1">
      <alignment wrapText="1"/>
    </xf>
    <xf numFmtId="0" fontId="5" fillId="0" borderId="0" xfId="0" applyFont="1"/>
    <xf numFmtId="9" fontId="0" fillId="0" borderId="0" xfId="0" applyNumberForma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11</xdr:row>
      <xdr:rowOff>228600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23360317-D499-EC46-B3C4-804F285FF78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76200</xdr:colOff>
      <xdr:row>22</xdr:row>
      <xdr:rowOff>228600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C73602BC-A204-F173-1B57-94D75480FE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583692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Start" displayName="T_Start" ref="A3:C8">
  <autoFilter ref="A3:C8" xr:uid="{00000000-0009-0000-0100-000001000000}"/>
  <tableColumns count="3">
    <tableColumn id="1" xr3:uid="{00000000-0010-0000-0000-000001000000}" name="Item"/>
    <tableColumn id="2" xr3:uid="{00000000-0010-0000-0000-000002000000}" name="Explanation"/>
    <tableColumn id="3" xr3:uid="{00000000-0010-0000-0000-000003000000}" name="Why it matt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StartRead" displayName="T_StartRead" ref="A13:B18">
  <autoFilter ref="A13:B18" xr:uid="{00000000-0009-0000-0100-000002000000}"/>
  <tableColumns count="2">
    <tableColumn id="1" xr3:uid="{00000000-0010-0000-0100-000001000000}" name="Sheet"/>
    <tableColumn id="2" xr3:uid="{00000000-0010-0000-0100-000002000000}" name="How to use 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Brief1" displayName="T_Brief1" ref="A3:C7">
  <autoFilter ref="A3:C7" xr:uid="{00000000-0009-0000-0100-000003000000}"/>
  <tableColumns count="3">
    <tableColumn id="1" xr3:uid="{00000000-0010-0000-0200-000001000000}" name="Topic"/>
    <tableColumn id="2" xr3:uid="{00000000-0010-0000-0200-000002000000}" name="Plain-English explanation"/>
    <tableColumn id="3" xr3:uid="{00000000-0010-0000-0200-000003000000}" name="Why it matt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Brief2" displayName="T_Brief2" ref="A12:D17">
  <autoFilter ref="A12:D17" xr:uid="{00000000-0009-0000-0100-000004000000}"/>
  <tableColumns count="4">
    <tableColumn id="1" xr3:uid="{00000000-0010-0000-0300-000001000000}" name="Metric"/>
    <tableColumn id="2" xr3:uid="{00000000-0010-0000-0300-000002000000}" name="What it means in this workbook"/>
    <tableColumn id="3" xr3:uid="{00000000-0010-0000-0300-000003000000}" name="Why a developer should care"/>
    <tableColumn id="4" xr3:uid="{00000000-0010-0000-0300-000004000000}" name="Main source tab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Steps" displayName="T_Steps" ref="A3:C11">
  <autoFilter ref="A3:C11" xr:uid="{00000000-0009-0000-0100-000005000000}"/>
  <tableColumns count="3">
    <tableColumn id="1" xr3:uid="{00000000-0010-0000-0400-000001000000}" name="Step"/>
    <tableColumn id="2" xr3:uid="{00000000-0010-0000-0400-000002000000}" name="What you should do"/>
    <tableColumn id="3" xr3:uid="{00000000-0010-0000-0400-000003000000}" name="Expected outpu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AI1" displayName="T_AI1" ref="A3:B7">
  <autoFilter ref="A3:B7" xr:uid="{00000000-0009-0000-0100-000006000000}"/>
  <tableColumns count="2">
    <tableColumn id="1" xr3:uid="{00000000-0010-0000-0500-000001000000}" name="Category"/>
    <tableColumn id="2" xr3:uid="{00000000-0010-0000-0500-000002000000}" name="Guida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AI2" displayName="T_AI2" ref="A11:B16">
  <autoFilter ref="A11:B16" xr:uid="{00000000-0009-0000-0100-000007000000}"/>
  <tableColumns count="2">
    <tableColumn id="1" xr3:uid="{00000000-0010-0000-0600-000001000000}" name="Prompt label"/>
    <tableColumn id="2" xr3:uid="{00000000-0010-0000-0600-000002000000}" name="Promp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Check" displayName="T_Check" ref="A3:C10">
  <autoFilter ref="A3:C10" xr:uid="{00000000-0009-0000-0100-000008000000}"/>
  <tableColumns count="3">
    <tableColumn id="1" xr3:uid="{00000000-0010-0000-0700-000001000000}" name="Deliverable"/>
    <tableColumn id="2" xr3:uid="{00000000-0010-0000-0700-000002000000}" name="Requirement"/>
    <tableColumn id="3" xr3:uid="{00000000-0010-0000-0700-000003000000}" name="Required?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Overview" displayName="T_Overview" ref="A3:C9">
  <autoFilter ref="A3:C9" xr:uid="{00000000-0009-0000-0100-000009000000}"/>
  <tableColumns count="3">
    <tableColumn id="1" xr3:uid="{00000000-0010-0000-0800-000001000000}" name="Table"/>
    <tableColumn id="2" xr3:uid="{00000000-0010-0000-0800-000002000000}" name="What it represents"/>
    <tableColumn id="3" xr3:uid="{00000000-0010-0000-0800-000003000000}" name="Useful fo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Dict" displayName="T_Dict" ref="A3:D16">
  <autoFilter ref="A3:D16" xr:uid="{00000000-0009-0000-0100-00000A000000}"/>
  <tableColumns count="4">
    <tableColumn id="1" xr3:uid="{00000000-0010-0000-0900-000001000000}" name="Table"/>
    <tableColumn id="2" xr3:uid="{00000000-0010-0000-0900-000002000000}" name="Field"/>
    <tableColumn id="3" xr3:uid="{00000000-0010-0000-0900-000003000000}" name="Meaning"/>
    <tableColumn id="4" xr3:uid="{00000000-0010-0000-0900-000004000000}" name="Common us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Dim_Developers" displayName="T_Dim_Developers" ref="A1:G9">
  <autoFilter ref="A1:G9" xr:uid="{00000000-0009-0000-0100-00000B000000}"/>
  <tableColumns count="7">
    <tableColumn id="1" xr3:uid="{00000000-0010-0000-0A00-000001000000}" name="developer_id"/>
    <tableColumn id="2" xr3:uid="{00000000-0010-0000-0A00-000002000000}" name="developer_name"/>
    <tableColumn id="3" xr3:uid="{00000000-0010-0000-0A00-000003000000}" name="manager_id"/>
    <tableColumn id="4" xr3:uid="{00000000-0010-0000-0A00-000004000000}" name="manager_name"/>
    <tableColumn id="5" xr3:uid="{00000000-0010-0000-0A00-000005000000}" name="team_name"/>
    <tableColumn id="6" xr3:uid="{00000000-0010-0000-0A00-000006000000}" name="service_type"/>
    <tableColumn id="7" xr3:uid="{00000000-0010-0000-0A00-000007000000}" name="leve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Fact_Jira_Issues" displayName="T_Fact_Jira_Issues" ref="A1:O33">
  <autoFilter ref="A1:O33" xr:uid="{00000000-0009-0000-0100-00000C000000}"/>
  <tableColumns count="15">
    <tableColumn id="1" xr3:uid="{00000000-0010-0000-0B00-000001000000}" name="issue_id"/>
    <tableColumn id="2" xr3:uid="{00000000-0010-0000-0B00-000002000000}" name="developer_id"/>
    <tableColumn id="3" xr3:uid="{00000000-0010-0000-0B00-000003000000}" name="developer_name"/>
    <tableColumn id="4" xr3:uid="{00000000-0010-0000-0B00-000004000000}" name="manager_id"/>
    <tableColumn id="5" xr3:uid="{00000000-0010-0000-0B00-000005000000}" name="team_name"/>
    <tableColumn id="6" xr3:uid="{00000000-0010-0000-0B00-000006000000}" name="service_type"/>
    <tableColumn id="7" xr3:uid="{00000000-0010-0000-0B00-000007000000}" name="issue_type"/>
    <tableColumn id="8" xr3:uid="{00000000-0010-0000-0B00-000008000000}" name="story_points"/>
    <tableColumn id="9" xr3:uid="{00000000-0010-0000-0B00-000009000000}" name="created_at"/>
    <tableColumn id="10" xr3:uid="{00000000-0010-0000-0B00-00000A000000}" name="in_progress_at"/>
    <tableColumn id="11" xr3:uid="{00000000-0010-0000-0B00-00000B000000}" name="code_complete_at"/>
    <tableColumn id="12" xr3:uid="{00000000-0010-0000-0B00-00000C000000}" name="done_at"/>
    <tableColumn id="13" xr3:uid="{00000000-0010-0000-0B00-00000D000000}" name="status"/>
    <tableColumn id="14" xr3:uid="{00000000-0010-0000-0B00-00000E000000}" name="month_done"/>
    <tableColumn id="15" xr3:uid="{00000000-0010-0000-0B00-00000F000000}" name="cycle_time_day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Fact_Pull_Requests" displayName="T_Fact_Pull_Requests" ref="A1:P33">
  <autoFilter ref="A1:P33" xr:uid="{00000000-0009-0000-0100-00000D000000}"/>
  <tableColumns count="16">
    <tableColumn id="1" xr3:uid="{00000000-0010-0000-0C00-000001000000}" name="pr_id"/>
    <tableColumn id="2" xr3:uid="{00000000-0010-0000-0C00-000002000000}" name="issue_id"/>
    <tableColumn id="3" xr3:uid="{00000000-0010-0000-0C00-000003000000}" name="developer_id"/>
    <tableColumn id="4" xr3:uid="{00000000-0010-0000-0C00-000004000000}" name="developer_name"/>
    <tableColumn id="5" xr3:uid="{00000000-0010-0000-0C00-000005000000}" name="manager_id"/>
    <tableColumn id="6" xr3:uid="{00000000-0010-0000-0C00-000006000000}" name="team_name"/>
    <tableColumn id="7" xr3:uid="{00000000-0010-0000-0C00-000007000000}" name="opened_at"/>
    <tableColumn id="8" xr3:uid="{00000000-0010-0000-0C00-000008000000}" name="first_review_at"/>
    <tableColumn id="9" xr3:uid="{00000000-0010-0000-0C00-000009000000}" name="approved_at"/>
    <tableColumn id="10" xr3:uid="{00000000-0010-0000-0C00-00000A000000}" name="merged_at"/>
    <tableColumn id="11" xr3:uid="{00000000-0010-0000-0C00-00000B000000}" name="status"/>
    <tableColumn id="12" xr3:uid="{00000000-0010-0000-0C00-00000C000000}" name="month_merged"/>
    <tableColumn id="13" xr3:uid="{00000000-0010-0000-0C00-00000D000000}" name="review_wait_hours"/>
    <tableColumn id="14" xr3:uid="{00000000-0010-0000-0C00-00000E000000}" name="merge_time_hours"/>
    <tableColumn id="15" xr3:uid="{00000000-0010-0000-0C00-00000F000000}" name="lines_changed"/>
    <tableColumn id="16" xr3:uid="{00000000-0010-0000-0C00-000010000000}" name="review_round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Fact_CI_Deployments" displayName="T_Fact_CI_Deployments" ref="A1:N33">
  <autoFilter ref="A1:N33" xr:uid="{00000000-0009-0000-0100-00000E000000}"/>
  <tableColumns count="14">
    <tableColumn id="1" xr3:uid="{00000000-0010-0000-0D00-000001000000}" name="deployment_id"/>
    <tableColumn id="2" xr3:uid="{00000000-0010-0000-0D00-000002000000}" name="pr_id"/>
    <tableColumn id="3" xr3:uid="{00000000-0010-0000-0D00-000003000000}" name="issue_id"/>
    <tableColumn id="4" xr3:uid="{00000000-0010-0000-0D00-000004000000}" name="developer_id"/>
    <tableColumn id="5" xr3:uid="{00000000-0010-0000-0D00-000005000000}" name="developer_name"/>
    <tableColumn id="6" xr3:uid="{00000000-0010-0000-0D00-000006000000}" name="manager_id"/>
    <tableColumn id="7" xr3:uid="{00000000-0010-0000-0D00-000007000000}" name="team_name"/>
    <tableColumn id="8" xr3:uid="{00000000-0010-0000-0D00-000008000000}" name="environment"/>
    <tableColumn id="9" xr3:uid="{00000000-0010-0000-0D00-000009000000}" name="started_at"/>
    <tableColumn id="10" xr3:uid="{00000000-0010-0000-0D00-00000A000000}" name="completed_at"/>
    <tableColumn id="11" xr3:uid="{00000000-0010-0000-0D00-00000B000000}" name="status"/>
    <tableColumn id="12" xr3:uid="{00000000-0010-0000-0D00-00000C000000}" name="month_deployed"/>
    <tableColumn id="13" xr3:uid="{00000000-0010-0000-0D00-00000D000000}" name="lead_time_days"/>
    <tableColumn id="14" xr3:uid="{00000000-0010-0000-0D00-00000E000000}" name="release_typ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Fact_Bug_Reports" displayName="T_Fact_Bug_Reports" ref="A1:L7">
  <autoFilter ref="A1:L7" xr:uid="{00000000-0009-0000-0100-00000F000000}"/>
  <tableColumns count="12">
    <tableColumn id="1" xr3:uid="{00000000-0010-0000-0E00-000001000000}" name="bug_id"/>
    <tableColumn id="2" xr3:uid="{00000000-0010-0000-0E00-000002000000}" name="linked_issue_id"/>
    <tableColumn id="3" xr3:uid="{00000000-0010-0000-0E00-000003000000}" name="developer_id"/>
    <tableColumn id="4" xr3:uid="{00000000-0010-0000-0E00-000004000000}" name="developer_name"/>
    <tableColumn id="5" xr3:uid="{00000000-0010-0000-0E00-000005000000}" name="manager_id"/>
    <tableColumn id="6" xr3:uid="{00000000-0010-0000-0E00-000006000000}" name="team_name"/>
    <tableColumn id="7" xr3:uid="{00000000-0010-0000-0E00-000007000000}" name="found_at"/>
    <tableColumn id="8" xr3:uid="{00000000-0010-0000-0E00-000008000000}" name="severity"/>
    <tableColumn id="9" xr3:uid="{00000000-0010-0000-0E00-000009000000}" name="escaped_to_prod"/>
    <tableColumn id="10" xr3:uid="{00000000-0010-0000-0E00-00000A000000}" name="status"/>
    <tableColumn id="11" xr3:uid="{00000000-0010-0000-0E00-00000B000000}" name="month_found"/>
    <tableColumn id="12" xr3:uid="{00000000-0010-0000-0E00-00000C000000}" name="root_cause_bucke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MetricRows" displayName="T_MetricRows" ref="A1:N17">
  <autoFilter ref="A1:N17" xr:uid="{00000000-0009-0000-0100-000011000000}"/>
  <tableColumns count="14">
    <tableColumn id="1" xr3:uid="{00000000-0010-0000-1000-000001000000}" name="developer_id"/>
    <tableColumn id="2" xr3:uid="{00000000-0010-0000-1000-000002000000}" name="month"/>
    <tableColumn id="3" xr3:uid="{00000000-0010-0000-1000-000003000000}" name="developer_name"/>
    <tableColumn id="4" xr3:uid="{00000000-0010-0000-1000-000004000000}" name="manager_id"/>
    <tableColumn id="5" xr3:uid="{00000000-0010-0000-1000-000005000000}" name="team_name"/>
    <tableColumn id="6" xr3:uid="{00000000-0010-0000-1000-000006000000}" name="issues_done"/>
    <tableColumn id="7" xr3:uid="{00000000-0010-0000-1000-000007000000}" name="merged_prs"/>
    <tableColumn id="8" xr3:uid="{00000000-0010-0000-1000-000008000000}" name="prod_deployments"/>
    <tableColumn id="9" xr3:uid="{00000000-0010-0000-1000-000009000000}" name="escaped_bugs"/>
    <tableColumn id="10" xr3:uid="{00000000-0010-0000-1000-00000A000000}" name="avg_cycle_time_days"/>
    <tableColumn id="11" xr3:uid="{00000000-0010-0000-1000-00000B000000}" name="avg_lead_time_days"/>
    <tableColumn id="12" xr3:uid="{00000000-0010-0000-1000-00000C000000}" name="bug_rate_pct"/>
    <tableColumn id="13" xr3:uid="{00000000-0010-0000-1000-00000D000000}" name="pattern_hint"/>
    <tableColumn id="14" xr3:uid="{00000000-0010-0000-1000-00000E000000}" name="dev_month_key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Manager" displayName="T_Manager" ref="A1:H7">
  <autoFilter ref="A1:H7" xr:uid="{00000000-0009-0000-0100-000012000000}"/>
  <tableColumns count="8">
    <tableColumn id="1" xr3:uid="{00000000-0010-0000-1100-000001000000}" name="manager_id"/>
    <tableColumn id="2" xr3:uid="{00000000-0010-0000-1100-000002000000}" name="manager_name"/>
    <tableColumn id="3" xr3:uid="{00000000-0010-0000-1100-000003000000}" name="month"/>
    <tableColumn id="4" xr3:uid="{00000000-0010-0000-1100-000004000000}" name="team_size"/>
    <tableColumn id="5" xr3:uid="{00000000-0010-0000-1100-000005000000}" name="avg_lead_time_days"/>
    <tableColumn id="6" xr3:uid="{00000000-0010-0000-1100-000006000000}" name="avg_cycle_time_days"/>
    <tableColumn id="7" xr3:uid="{00000000-0010-0000-1100-000007000000}" name="avg_bug_rate_pct"/>
    <tableColumn id="8" xr3:uid="{00000000-0010-0000-1100-000008000000}" name="signal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Rubric" displayName="T_Rubric" ref="A3:C9">
  <autoFilter ref="A3:C9" xr:uid="{00000000-0009-0000-0100-000013000000}"/>
  <tableColumns count="3">
    <tableColumn id="1" xr3:uid="{00000000-0010-0000-1200-000001000000}" name="Category"/>
    <tableColumn id="2" xr3:uid="{00000000-0010-0000-1200-000002000000}" name="What good looks like"/>
    <tableColumn id="3" xr3:uid="{00000000-0010-0000-1200-000003000000}" name="Weigh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Score" displayName="T_Score" ref="A6:E13">
  <autoFilter ref="A6:E13" xr:uid="{00000000-0009-0000-0100-000014000000}"/>
  <tableColumns count="5">
    <tableColumn id="1" xr3:uid="{00000000-0010-0000-1300-000001000000}" name="Category"/>
    <tableColumn id="2" xr3:uid="{00000000-0010-0000-1300-000002000000}" name="Weight"/>
    <tableColumn id="3" xr3:uid="{00000000-0010-0000-1300-000003000000}" name="Score (1-5)"/>
    <tableColumn id="4" xr3:uid="{00000000-0010-0000-1300-000004000000}" name="Weighted score"/>
    <tableColumn id="5" xr3:uid="{00000000-0010-0000-1300-000005000000}" name="Note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_ReviewGuide" displayName="T_ReviewGuide" ref="A3:B8">
  <autoFilter ref="A3:B8" xr:uid="{00000000-0009-0000-0100-000015000000}"/>
  <tableColumns count="2">
    <tableColumn id="1" xr3:uid="{00000000-0010-0000-1400-000001000000}" name="Prompt"/>
    <tableColumn id="2" xr3:uid="{00000000-0010-0000-1400-000002000000}" name="What to listen 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opLeftCell="A48" workbookViewId="0">
      <selection sqref="A1:H12"/>
    </sheetView>
  </sheetViews>
  <sheetFormatPr defaultRowHeight="14.4" x14ac:dyDescent="0.3"/>
  <cols>
    <col min="1" max="1" width="26" customWidth="1"/>
    <col min="2" max="2" width="78" customWidth="1"/>
    <col min="3" max="3" width="28" customWidth="1"/>
  </cols>
  <sheetData>
    <row r="1" spans="1:8" ht="21" x14ac:dyDescent="0.4">
      <c r="A1" s="18" t="s">
        <v>0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1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2</v>
      </c>
      <c r="B3" s="1" t="s">
        <v>3</v>
      </c>
      <c r="C3" s="1" t="s">
        <v>4</v>
      </c>
    </row>
    <row r="4" spans="1:8" ht="28.05" customHeight="1" x14ac:dyDescent="0.3">
      <c r="A4" s="1"/>
      <c r="B4" s="1"/>
      <c r="C4" s="1"/>
    </row>
    <row r="5" spans="1:8" ht="43.95" customHeight="1" x14ac:dyDescent="0.3">
      <c r="A5" s="2" t="s">
        <v>5</v>
      </c>
      <c r="B5" s="2" t="s">
        <v>6</v>
      </c>
      <c r="C5" s="2" t="s">
        <v>7</v>
      </c>
    </row>
    <row r="6" spans="1:8" ht="43.95" customHeight="1" x14ac:dyDescent="0.3">
      <c r="A6" s="2" t="s">
        <v>8</v>
      </c>
      <c r="B6" s="2" t="s">
        <v>9</v>
      </c>
      <c r="C6" s="2" t="s">
        <v>10</v>
      </c>
    </row>
    <row r="7" spans="1:8" ht="43.95" customHeight="1" x14ac:dyDescent="0.3">
      <c r="A7" s="2" t="s">
        <v>11</v>
      </c>
      <c r="B7" s="2" t="s">
        <v>12</v>
      </c>
      <c r="C7" s="2" t="s">
        <v>13</v>
      </c>
    </row>
    <row r="8" spans="1:8" ht="43.95" customHeight="1" x14ac:dyDescent="0.3">
      <c r="A8" s="2" t="s">
        <v>14</v>
      </c>
      <c r="B8" s="2" t="s">
        <v>15</v>
      </c>
      <c r="C8" s="2" t="s">
        <v>16</v>
      </c>
    </row>
    <row r="9" spans="1:8" ht="43.95" customHeight="1" x14ac:dyDescent="0.3">
      <c r="A9" s="2" t="s">
        <v>17</v>
      </c>
      <c r="B9" s="2" t="s">
        <v>18</v>
      </c>
      <c r="C9" s="2" t="s">
        <v>19</v>
      </c>
    </row>
    <row r="12" spans="1:8" ht="17.399999999999999" x14ac:dyDescent="0.35">
      <c r="A12" s="3" t="s">
        <v>20</v>
      </c>
    </row>
    <row r="13" spans="1:8" ht="28.05" customHeight="1" x14ac:dyDescent="0.3">
      <c r="A13" s="1" t="s">
        <v>21</v>
      </c>
      <c r="B13" s="1" t="s">
        <v>22</v>
      </c>
    </row>
    <row r="14" spans="1:8" ht="34.049999999999997" customHeight="1" x14ac:dyDescent="0.3">
      <c r="A14" s="2" t="s">
        <v>23</v>
      </c>
      <c r="B14" s="2" t="s">
        <v>24</v>
      </c>
    </row>
    <row r="15" spans="1:8" ht="34.049999999999997" customHeight="1" x14ac:dyDescent="0.3">
      <c r="A15" s="2" t="s">
        <v>25</v>
      </c>
      <c r="B15" s="2" t="s">
        <v>26</v>
      </c>
    </row>
    <row r="16" spans="1:8" ht="34.049999999999997" customHeight="1" x14ac:dyDescent="0.3">
      <c r="A16" s="2" t="s">
        <v>27</v>
      </c>
      <c r="B16" s="2" t="s">
        <v>28</v>
      </c>
    </row>
    <row r="17" spans="1:2" ht="34.049999999999997" customHeight="1" x14ac:dyDescent="0.3">
      <c r="A17" s="2" t="s">
        <v>29</v>
      </c>
      <c r="B17" s="2" t="s">
        <v>30</v>
      </c>
    </row>
    <row r="18" spans="1:2" ht="34.049999999999997" customHeight="1" x14ac:dyDescent="0.3">
      <c r="A18" s="2" t="s">
        <v>31</v>
      </c>
      <c r="B18" s="2" t="s">
        <v>32</v>
      </c>
    </row>
  </sheetData>
  <mergeCells count="2">
    <mergeCell ref="A2:H2"/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workbookViewId="0"/>
  </sheetViews>
  <sheetFormatPr defaultRowHeight="14.4" x14ac:dyDescent="0.3"/>
  <cols>
    <col min="1" max="1" width="27" customWidth="1"/>
    <col min="2" max="2" width="74" customWidth="1"/>
    <col min="3" max="3" width="30" customWidth="1"/>
    <col min="4" max="4" width="24" customWidth="1"/>
  </cols>
  <sheetData>
    <row r="1" spans="1:8" ht="21" x14ac:dyDescent="0.4">
      <c r="A1" s="18" t="s">
        <v>33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34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35</v>
      </c>
      <c r="B3" s="1" t="s">
        <v>36</v>
      </c>
      <c r="C3" s="1" t="s">
        <v>4</v>
      </c>
    </row>
    <row r="4" spans="1:8" ht="28.05" customHeight="1" x14ac:dyDescent="0.3">
      <c r="A4" s="1"/>
      <c r="B4" s="1"/>
      <c r="C4" s="1"/>
    </row>
    <row r="5" spans="1:8" ht="48" customHeight="1" x14ac:dyDescent="0.3">
      <c r="A5" s="2" t="s">
        <v>37</v>
      </c>
      <c r="B5" s="2" t="s">
        <v>38</v>
      </c>
      <c r="C5" s="2" t="s">
        <v>39</v>
      </c>
    </row>
    <row r="6" spans="1:8" ht="48" customHeight="1" x14ac:dyDescent="0.3">
      <c r="A6" s="2" t="s">
        <v>40</v>
      </c>
      <c r="B6" s="2" t="s">
        <v>41</v>
      </c>
      <c r="C6" s="2" t="s">
        <v>42</v>
      </c>
    </row>
    <row r="7" spans="1:8" ht="48" customHeight="1" x14ac:dyDescent="0.3">
      <c r="A7" s="2" t="s">
        <v>43</v>
      </c>
      <c r="B7" s="2" t="s">
        <v>44</v>
      </c>
      <c r="C7" s="2" t="s">
        <v>45</v>
      </c>
    </row>
    <row r="8" spans="1:8" ht="48" customHeight="1" x14ac:dyDescent="0.3">
      <c r="A8" s="2" t="s">
        <v>46</v>
      </c>
      <c r="B8" s="2" t="s">
        <v>47</v>
      </c>
      <c r="C8" s="2" t="s">
        <v>48</v>
      </c>
    </row>
    <row r="11" spans="1:8" ht="17.399999999999999" x14ac:dyDescent="0.35">
      <c r="A11" s="3" t="s">
        <v>49</v>
      </c>
    </row>
    <row r="12" spans="1:8" ht="28.05" customHeight="1" x14ac:dyDescent="0.3">
      <c r="A12" s="1" t="s">
        <v>50</v>
      </c>
      <c r="B12" s="1" t="s">
        <v>51</v>
      </c>
      <c r="C12" s="1" t="s">
        <v>52</v>
      </c>
      <c r="D12" s="1" t="s">
        <v>53</v>
      </c>
    </row>
    <row r="13" spans="1:8" ht="42" customHeight="1" x14ac:dyDescent="0.3">
      <c r="A13" s="2" t="s">
        <v>54</v>
      </c>
      <c r="B13" s="2" t="s">
        <v>55</v>
      </c>
      <c r="C13" s="2" t="s">
        <v>56</v>
      </c>
      <c r="D13" s="2" t="s">
        <v>57</v>
      </c>
    </row>
    <row r="14" spans="1:8" ht="42" customHeight="1" x14ac:dyDescent="0.3">
      <c r="A14" s="2" t="s">
        <v>58</v>
      </c>
      <c r="B14" s="2" t="s">
        <v>59</v>
      </c>
      <c r="C14" s="2" t="s">
        <v>60</v>
      </c>
      <c r="D14" s="2" t="s">
        <v>61</v>
      </c>
    </row>
    <row r="15" spans="1:8" ht="42" customHeight="1" x14ac:dyDescent="0.3">
      <c r="A15" s="2" t="s">
        <v>62</v>
      </c>
      <c r="B15" s="2" t="s">
        <v>63</v>
      </c>
      <c r="C15" s="2" t="s">
        <v>64</v>
      </c>
      <c r="D15" s="2" t="s">
        <v>65</v>
      </c>
    </row>
    <row r="16" spans="1:8" ht="42" customHeight="1" x14ac:dyDescent="0.3">
      <c r="A16" s="2" t="s">
        <v>66</v>
      </c>
      <c r="B16" s="2" t="s">
        <v>67</v>
      </c>
      <c r="C16" s="2" t="s">
        <v>68</v>
      </c>
      <c r="D16" s="2" t="s">
        <v>69</v>
      </c>
    </row>
    <row r="17" spans="1:4" ht="42" customHeight="1" x14ac:dyDescent="0.3">
      <c r="A17" s="2" t="s">
        <v>70</v>
      </c>
      <c r="B17" s="2" t="s">
        <v>71</v>
      </c>
      <c r="C17" s="2" t="s">
        <v>72</v>
      </c>
      <c r="D17" s="2" t="s">
        <v>73</v>
      </c>
    </row>
  </sheetData>
  <mergeCells count="2">
    <mergeCell ref="A2:H2"/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/>
  </sheetViews>
  <sheetFormatPr defaultRowHeight="14.4" x14ac:dyDescent="0.3"/>
  <cols>
    <col min="1" max="1" width="18" customWidth="1"/>
    <col min="2" max="2" width="68" customWidth="1"/>
    <col min="3" max="3" width="36" customWidth="1"/>
  </cols>
  <sheetData>
    <row r="1" spans="1:8" ht="21" x14ac:dyDescent="0.4">
      <c r="A1" s="18" t="s">
        <v>74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75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76</v>
      </c>
      <c r="B3" s="1" t="s">
        <v>77</v>
      </c>
      <c r="C3" s="1" t="s">
        <v>78</v>
      </c>
    </row>
    <row r="4" spans="1:8" ht="28.05" customHeight="1" x14ac:dyDescent="0.3">
      <c r="A4" s="1"/>
      <c r="B4" s="1"/>
      <c r="C4" s="1"/>
    </row>
    <row r="5" spans="1:8" ht="40.049999999999997" customHeight="1" x14ac:dyDescent="0.3">
      <c r="A5" s="2" t="s">
        <v>79</v>
      </c>
      <c r="B5" s="2" t="s">
        <v>80</v>
      </c>
      <c r="C5" s="2" t="s">
        <v>81</v>
      </c>
    </row>
    <row r="6" spans="1:8" ht="40.049999999999997" customHeight="1" x14ac:dyDescent="0.3">
      <c r="A6" s="2" t="s">
        <v>82</v>
      </c>
      <c r="B6" s="2" t="s">
        <v>83</v>
      </c>
      <c r="C6" s="2" t="s">
        <v>84</v>
      </c>
    </row>
    <row r="7" spans="1:8" ht="40.049999999999997" customHeight="1" x14ac:dyDescent="0.3">
      <c r="A7" s="2" t="s">
        <v>85</v>
      </c>
      <c r="B7" s="2" t="s">
        <v>86</v>
      </c>
      <c r="C7" s="2" t="s">
        <v>87</v>
      </c>
    </row>
    <row r="8" spans="1:8" ht="40.049999999999997" customHeight="1" x14ac:dyDescent="0.3">
      <c r="A8" s="2" t="s">
        <v>88</v>
      </c>
      <c r="B8" s="2" t="s">
        <v>89</v>
      </c>
      <c r="C8" s="2" t="s">
        <v>90</v>
      </c>
    </row>
    <row r="9" spans="1:8" ht="40.049999999999997" customHeight="1" x14ac:dyDescent="0.3">
      <c r="A9" s="2" t="s">
        <v>91</v>
      </c>
      <c r="B9" s="2" t="s">
        <v>92</v>
      </c>
      <c r="C9" s="2" t="s">
        <v>93</v>
      </c>
    </row>
    <row r="10" spans="1:8" ht="40.049999999999997" customHeight="1" x14ac:dyDescent="0.3">
      <c r="A10" s="2" t="s">
        <v>94</v>
      </c>
      <c r="B10" s="2" t="s">
        <v>95</v>
      </c>
      <c r="C10" s="2" t="s">
        <v>96</v>
      </c>
    </row>
    <row r="11" spans="1:8" ht="40.049999999999997" customHeight="1" x14ac:dyDescent="0.3">
      <c r="A11" s="2" t="s">
        <v>97</v>
      </c>
      <c r="B11" s="2" t="s">
        <v>98</v>
      </c>
      <c r="C11" s="2" t="s">
        <v>99</v>
      </c>
    </row>
    <row r="12" spans="1:8" ht="40.049999999999997" customHeight="1" x14ac:dyDescent="0.3">
      <c r="A12" s="2" t="s">
        <v>100</v>
      </c>
      <c r="B12" s="2" t="s">
        <v>101</v>
      </c>
      <c r="C12" s="2" t="s">
        <v>102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showGridLines="0" workbookViewId="0">
      <selection sqref="A1:H1"/>
    </sheetView>
  </sheetViews>
  <sheetFormatPr defaultRowHeight="14.4" x14ac:dyDescent="0.3"/>
  <cols>
    <col min="1" max="1" width="28" customWidth="1"/>
    <col min="2" max="2" width="74" customWidth="1"/>
  </cols>
  <sheetData>
    <row r="1" spans="1:8" ht="21" x14ac:dyDescent="0.4">
      <c r="A1" s="18" t="s">
        <v>103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104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105</v>
      </c>
      <c r="B3" s="1" t="s">
        <v>106</v>
      </c>
    </row>
    <row r="4" spans="1:8" ht="28.05" customHeight="1" x14ac:dyDescent="0.3">
      <c r="A4" s="1"/>
      <c r="B4" s="1"/>
    </row>
    <row r="5" spans="1:8" ht="43.95" customHeight="1" x14ac:dyDescent="0.3">
      <c r="A5" s="2" t="s">
        <v>107</v>
      </c>
      <c r="B5" s="2" t="s">
        <v>108</v>
      </c>
    </row>
    <row r="6" spans="1:8" ht="43.95" customHeight="1" x14ac:dyDescent="0.3">
      <c r="A6" s="2" t="s">
        <v>109</v>
      </c>
      <c r="B6" s="2" t="s">
        <v>110</v>
      </c>
    </row>
    <row r="7" spans="1:8" ht="43.95" customHeight="1" x14ac:dyDescent="0.3">
      <c r="A7" s="2" t="s">
        <v>111</v>
      </c>
      <c r="B7" s="2" t="s">
        <v>112</v>
      </c>
    </row>
    <row r="8" spans="1:8" ht="43.95" customHeight="1" x14ac:dyDescent="0.3">
      <c r="A8" s="2" t="s">
        <v>113</v>
      </c>
      <c r="B8" s="2" t="s">
        <v>114</v>
      </c>
    </row>
    <row r="10" spans="1:8" ht="17.399999999999999" x14ac:dyDescent="0.35">
      <c r="A10" s="3" t="s">
        <v>115</v>
      </c>
    </row>
    <row r="11" spans="1:8" ht="28.05" customHeight="1" x14ac:dyDescent="0.3">
      <c r="A11" s="1" t="s">
        <v>116</v>
      </c>
      <c r="B11" s="1" t="s">
        <v>117</v>
      </c>
    </row>
    <row r="12" spans="1:8" ht="40.049999999999997" customHeight="1" x14ac:dyDescent="0.3">
      <c r="A12" s="2" t="s">
        <v>118</v>
      </c>
      <c r="B12" s="2" t="s">
        <v>119</v>
      </c>
    </row>
    <row r="13" spans="1:8" ht="40.049999999999997" customHeight="1" x14ac:dyDescent="0.3">
      <c r="A13" s="2" t="s">
        <v>120</v>
      </c>
      <c r="B13" s="2" t="s">
        <v>121</v>
      </c>
    </row>
    <row r="14" spans="1:8" ht="40.049999999999997" customHeight="1" x14ac:dyDescent="0.3">
      <c r="A14" s="2" t="s">
        <v>122</v>
      </c>
      <c r="B14" s="2" t="s">
        <v>123</v>
      </c>
    </row>
    <row r="15" spans="1:8" ht="40.049999999999997" customHeight="1" x14ac:dyDescent="0.3">
      <c r="A15" s="2" t="s">
        <v>124</v>
      </c>
      <c r="B15" s="2" t="s">
        <v>125</v>
      </c>
    </row>
    <row r="16" spans="1:8" ht="40.049999999999997" customHeight="1" x14ac:dyDescent="0.3">
      <c r="A16" s="2" t="s">
        <v>126</v>
      </c>
      <c r="B16" s="2" t="s">
        <v>127</v>
      </c>
    </row>
  </sheetData>
  <mergeCells count="2">
    <mergeCell ref="A2:H2"/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sqref="A1:H1"/>
    </sheetView>
  </sheetViews>
  <sheetFormatPr defaultRowHeight="14.4" x14ac:dyDescent="0.3"/>
  <cols>
    <col min="1" max="1" width="22" customWidth="1"/>
    <col min="2" max="2" width="64" customWidth="1"/>
    <col min="3" max="3" width="16" customWidth="1"/>
  </cols>
  <sheetData>
    <row r="1" spans="1:8" ht="21" x14ac:dyDescent="0.4">
      <c r="A1" s="18" t="s">
        <v>128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129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130</v>
      </c>
      <c r="B3" s="1" t="s">
        <v>131</v>
      </c>
      <c r="C3" s="1" t="s">
        <v>132</v>
      </c>
    </row>
    <row r="4" spans="1:8" ht="28.05" customHeight="1" x14ac:dyDescent="0.3">
      <c r="A4" s="1"/>
      <c r="B4" s="1"/>
      <c r="C4" s="1"/>
    </row>
    <row r="5" spans="1:8" ht="37.950000000000003" customHeight="1" x14ac:dyDescent="0.3">
      <c r="A5" s="2" t="s">
        <v>133</v>
      </c>
      <c r="B5" s="2" t="s">
        <v>134</v>
      </c>
      <c r="C5" s="2" t="s">
        <v>135</v>
      </c>
    </row>
    <row r="6" spans="1:8" ht="37.950000000000003" customHeight="1" x14ac:dyDescent="0.3">
      <c r="A6" s="2" t="s">
        <v>136</v>
      </c>
      <c r="B6" s="2" t="s">
        <v>137</v>
      </c>
      <c r="C6" s="2" t="s">
        <v>135</v>
      </c>
    </row>
    <row r="7" spans="1:8" ht="37.950000000000003" customHeight="1" x14ac:dyDescent="0.3">
      <c r="A7" s="2" t="s">
        <v>138</v>
      </c>
      <c r="B7" s="2" t="s">
        <v>139</v>
      </c>
      <c r="C7" s="2" t="s">
        <v>135</v>
      </c>
    </row>
    <row r="8" spans="1:8" ht="37.950000000000003" customHeight="1" x14ac:dyDescent="0.3">
      <c r="A8" s="2" t="s">
        <v>140</v>
      </c>
      <c r="B8" s="2" t="s">
        <v>141</v>
      </c>
      <c r="C8" s="2" t="s">
        <v>135</v>
      </c>
    </row>
    <row r="9" spans="1:8" ht="37.950000000000003" customHeight="1" x14ac:dyDescent="0.3">
      <c r="A9" s="2" t="s">
        <v>142</v>
      </c>
      <c r="B9" s="2" t="s">
        <v>143</v>
      </c>
      <c r="C9" s="2" t="s">
        <v>135</v>
      </c>
    </row>
    <row r="10" spans="1:8" ht="37.950000000000003" customHeight="1" x14ac:dyDescent="0.3">
      <c r="A10" s="2" t="s">
        <v>144</v>
      </c>
      <c r="B10" s="2" t="s">
        <v>145</v>
      </c>
      <c r="C10" s="2" t="s">
        <v>146</v>
      </c>
    </row>
    <row r="11" spans="1:8" ht="37.950000000000003" customHeight="1" x14ac:dyDescent="0.3">
      <c r="A11" s="2" t="s">
        <v>147</v>
      </c>
      <c r="B11" s="2" t="s">
        <v>148</v>
      </c>
      <c r="C11" s="2" t="s">
        <v>146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showGridLines="0" workbookViewId="0">
      <selection sqref="A1:H1"/>
    </sheetView>
  </sheetViews>
  <sheetFormatPr defaultRowHeight="14.4" x14ac:dyDescent="0.3"/>
  <cols>
    <col min="1" max="1" width="24" customWidth="1"/>
    <col min="2" max="2" width="58" customWidth="1"/>
    <col min="3" max="3" width="38" customWidth="1"/>
  </cols>
  <sheetData>
    <row r="1" spans="1:8" ht="21" x14ac:dyDescent="0.4">
      <c r="A1" s="18" t="s">
        <v>149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150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151</v>
      </c>
      <c r="B3" s="1" t="s">
        <v>152</v>
      </c>
      <c r="C3" s="1" t="s">
        <v>153</v>
      </c>
    </row>
    <row r="4" spans="1:8" ht="28.05" customHeight="1" x14ac:dyDescent="0.3">
      <c r="A4" s="1"/>
      <c r="B4" s="1"/>
      <c r="C4" s="1"/>
    </row>
    <row r="5" spans="1:8" ht="37.950000000000003" customHeight="1" x14ac:dyDescent="0.3">
      <c r="A5" s="2" t="s">
        <v>154</v>
      </c>
      <c r="B5" s="2" t="s">
        <v>155</v>
      </c>
      <c r="C5" s="2" t="s">
        <v>156</v>
      </c>
    </row>
    <row r="6" spans="1:8" ht="37.950000000000003" customHeight="1" x14ac:dyDescent="0.3">
      <c r="A6" s="2" t="s">
        <v>61</v>
      </c>
      <c r="B6" s="2" t="s">
        <v>157</v>
      </c>
      <c r="C6" s="2" t="s">
        <v>158</v>
      </c>
    </row>
    <row r="7" spans="1:8" ht="37.950000000000003" customHeight="1" x14ac:dyDescent="0.3">
      <c r="A7" s="2" t="s">
        <v>73</v>
      </c>
      <c r="B7" s="2" t="s">
        <v>159</v>
      </c>
      <c r="C7" s="2" t="s">
        <v>160</v>
      </c>
    </row>
    <row r="8" spans="1:8" ht="37.950000000000003" customHeight="1" x14ac:dyDescent="0.3">
      <c r="A8" s="2" t="s">
        <v>69</v>
      </c>
      <c r="B8" s="2" t="s">
        <v>161</v>
      </c>
      <c r="C8" s="2" t="s">
        <v>162</v>
      </c>
    </row>
    <row r="9" spans="1:8" ht="37.950000000000003" customHeight="1" x14ac:dyDescent="0.3">
      <c r="A9" s="2" t="s">
        <v>163</v>
      </c>
      <c r="B9" s="2" t="s">
        <v>164</v>
      </c>
      <c r="C9" s="2" t="s">
        <v>165</v>
      </c>
    </row>
    <row r="10" spans="1:8" ht="37.950000000000003" customHeight="1" x14ac:dyDescent="0.3">
      <c r="A10" s="2" t="s">
        <v>31</v>
      </c>
      <c r="B10" s="2" t="s">
        <v>166</v>
      </c>
      <c r="C10" s="2" t="s">
        <v>167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showGridLines="0" workbookViewId="0">
      <selection sqref="A1:H1"/>
    </sheetView>
  </sheetViews>
  <sheetFormatPr defaultRowHeight="14.4" x14ac:dyDescent="0.3"/>
  <cols>
    <col min="1" max="1" width="22" customWidth="1"/>
    <col min="2" max="2" width="24" customWidth="1"/>
    <col min="3" max="3" width="48" customWidth="1"/>
    <col min="4" max="4" width="24" customWidth="1"/>
  </cols>
  <sheetData>
    <row r="1" spans="1:8" ht="21" x14ac:dyDescent="0.4">
      <c r="A1" s="18" t="s">
        <v>168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169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151</v>
      </c>
      <c r="B3" s="1" t="s">
        <v>170</v>
      </c>
      <c r="C3" s="1" t="s">
        <v>171</v>
      </c>
      <c r="D3" s="1" t="s">
        <v>172</v>
      </c>
    </row>
    <row r="4" spans="1:8" ht="28.05" customHeight="1" x14ac:dyDescent="0.3">
      <c r="A4" s="1"/>
      <c r="B4" s="1"/>
      <c r="C4" s="1"/>
      <c r="D4" s="1"/>
    </row>
    <row r="5" spans="1:8" ht="31.95" customHeight="1" x14ac:dyDescent="0.3">
      <c r="A5" s="2" t="s">
        <v>154</v>
      </c>
      <c r="B5" s="2" t="s">
        <v>173</v>
      </c>
      <c r="C5" s="2" t="s">
        <v>174</v>
      </c>
      <c r="D5" s="2" t="s">
        <v>175</v>
      </c>
    </row>
    <row r="6" spans="1:8" ht="31.95" customHeight="1" x14ac:dyDescent="0.3">
      <c r="A6" s="2" t="s">
        <v>154</v>
      </c>
      <c r="B6" s="2" t="s">
        <v>176</v>
      </c>
      <c r="C6" s="2" t="s">
        <v>177</v>
      </c>
      <c r="D6" s="2" t="s">
        <v>178</v>
      </c>
    </row>
    <row r="7" spans="1:8" ht="31.95" customHeight="1" x14ac:dyDescent="0.3">
      <c r="A7" s="2" t="s">
        <v>61</v>
      </c>
      <c r="B7" s="2" t="s">
        <v>179</v>
      </c>
      <c r="C7" s="2" t="s">
        <v>180</v>
      </c>
      <c r="D7" s="2" t="s">
        <v>181</v>
      </c>
    </row>
    <row r="8" spans="1:8" ht="31.95" customHeight="1" x14ac:dyDescent="0.3">
      <c r="A8" s="2" t="s">
        <v>61</v>
      </c>
      <c r="B8" s="2" t="s">
        <v>182</v>
      </c>
      <c r="C8" s="2" t="s">
        <v>183</v>
      </c>
      <c r="D8" s="2" t="s">
        <v>184</v>
      </c>
    </row>
    <row r="9" spans="1:8" ht="31.95" customHeight="1" x14ac:dyDescent="0.3">
      <c r="A9" s="2" t="s">
        <v>61</v>
      </c>
      <c r="B9" s="2" t="s">
        <v>185</v>
      </c>
      <c r="C9" s="2" t="s">
        <v>186</v>
      </c>
      <c r="D9" s="2" t="s">
        <v>181</v>
      </c>
    </row>
    <row r="10" spans="1:8" ht="31.95" customHeight="1" x14ac:dyDescent="0.3">
      <c r="A10" s="2" t="s">
        <v>73</v>
      </c>
      <c r="B10" s="2" t="s">
        <v>187</v>
      </c>
      <c r="C10" s="2" t="s">
        <v>188</v>
      </c>
      <c r="D10" s="2" t="s">
        <v>189</v>
      </c>
    </row>
    <row r="11" spans="1:8" ht="31.95" customHeight="1" x14ac:dyDescent="0.3">
      <c r="A11" s="2" t="s">
        <v>73</v>
      </c>
      <c r="B11" s="2" t="s">
        <v>190</v>
      </c>
      <c r="C11" s="2" t="s">
        <v>191</v>
      </c>
      <c r="D11" s="2" t="s">
        <v>192</v>
      </c>
    </row>
    <row r="12" spans="1:8" ht="31.95" customHeight="1" x14ac:dyDescent="0.3">
      <c r="A12" s="2" t="s">
        <v>73</v>
      </c>
      <c r="B12" s="2" t="s">
        <v>193</v>
      </c>
      <c r="C12" s="2" t="s">
        <v>194</v>
      </c>
      <c r="D12" s="2" t="s">
        <v>195</v>
      </c>
    </row>
    <row r="13" spans="1:8" ht="31.95" customHeight="1" x14ac:dyDescent="0.3">
      <c r="A13" s="2" t="s">
        <v>73</v>
      </c>
      <c r="B13" s="2" t="s">
        <v>196</v>
      </c>
      <c r="C13" s="2" t="s">
        <v>197</v>
      </c>
      <c r="D13" s="2" t="s">
        <v>198</v>
      </c>
    </row>
    <row r="14" spans="1:8" ht="31.95" customHeight="1" x14ac:dyDescent="0.3">
      <c r="A14" s="2" t="s">
        <v>69</v>
      </c>
      <c r="B14" s="2" t="s">
        <v>199</v>
      </c>
      <c r="C14" s="2" t="s">
        <v>200</v>
      </c>
      <c r="D14" s="2" t="s">
        <v>201</v>
      </c>
    </row>
    <row r="15" spans="1:8" ht="31.95" customHeight="1" x14ac:dyDescent="0.3">
      <c r="A15" s="2" t="s">
        <v>69</v>
      </c>
      <c r="B15" s="2" t="s">
        <v>202</v>
      </c>
      <c r="C15" s="2" t="s">
        <v>203</v>
      </c>
      <c r="D15" s="2" t="s">
        <v>189</v>
      </c>
    </row>
    <row r="16" spans="1:8" ht="31.95" customHeight="1" x14ac:dyDescent="0.3">
      <c r="A16" s="2" t="s">
        <v>163</v>
      </c>
      <c r="B16" s="2" t="s">
        <v>204</v>
      </c>
      <c r="C16" s="2" t="s">
        <v>205</v>
      </c>
      <c r="D16" s="2" t="s">
        <v>206</v>
      </c>
    </row>
    <row r="17" spans="1:4" ht="31.95" customHeight="1" x14ac:dyDescent="0.3">
      <c r="A17" s="2" t="s">
        <v>163</v>
      </c>
      <c r="B17" s="2" t="s">
        <v>207</v>
      </c>
      <c r="C17" s="2" t="s">
        <v>208</v>
      </c>
      <c r="D17" s="2" t="s">
        <v>209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showGridLines="0" workbookViewId="0"/>
  </sheetViews>
  <sheetFormatPr defaultRowHeight="14.4" x14ac:dyDescent="0.3"/>
  <cols>
    <col min="1" max="1" width="12" customWidth="1"/>
    <col min="2" max="2" width="16" customWidth="1"/>
    <col min="3" max="3" width="10" customWidth="1"/>
    <col min="4" max="4" width="16" customWidth="1"/>
    <col min="5" max="5" width="18" customWidth="1"/>
    <col min="6" max="6" width="12" customWidth="1"/>
    <col min="7" max="7" width="10" customWidth="1"/>
  </cols>
  <sheetData>
    <row r="1" spans="1:7" ht="28.05" customHeight="1" x14ac:dyDescent="0.3">
      <c r="A1" s="1" t="s">
        <v>173</v>
      </c>
      <c r="B1" s="1" t="s">
        <v>210</v>
      </c>
      <c r="C1" s="1" t="s">
        <v>211</v>
      </c>
      <c r="D1" s="1" t="s">
        <v>176</v>
      </c>
      <c r="E1" s="1" t="s">
        <v>212</v>
      </c>
      <c r="F1" s="1" t="s">
        <v>213</v>
      </c>
      <c r="G1" s="1" t="s">
        <v>214</v>
      </c>
    </row>
    <row r="2" spans="1:7" ht="22.05" customHeight="1" x14ac:dyDescent="0.3">
      <c r="A2" s="2" t="s">
        <v>215</v>
      </c>
      <c r="B2" s="2" t="s">
        <v>216</v>
      </c>
      <c r="C2" s="2" t="s">
        <v>217</v>
      </c>
      <c r="D2" s="2" t="s">
        <v>218</v>
      </c>
      <c r="E2" s="2" t="s">
        <v>219</v>
      </c>
      <c r="F2" s="2" t="s">
        <v>220</v>
      </c>
      <c r="G2" s="2" t="s">
        <v>221</v>
      </c>
    </row>
    <row r="3" spans="1:7" ht="22.05" customHeight="1" x14ac:dyDescent="0.3">
      <c r="A3" s="2" t="s">
        <v>222</v>
      </c>
      <c r="B3" s="2" t="s">
        <v>223</v>
      </c>
      <c r="C3" s="2" t="s">
        <v>217</v>
      </c>
      <c r="D3" s="2" t="s">
        <v>218</v>
      </c>
      <c r="E3" s="2" t="s">
        <v>219</v>
      </c>
      <c r="F3" s="2" t="s">
        <v>220</v>
      </c>
      <c r="G3" s="2" t="s">
        <v>224</v>
      </c>
    </row>
    <row r="4" spans="1:7" ht="22.05" customHeight="1" x14ac:dyDescent="0.3">
      <c r="A4" s="2" t="s">
        <v>225</v>
      </c>
      <c r="B4" s="2" t="s">
        <v>226</v>
      </c>
      <c r="C4" s="2" t="s">
        <v>217</v>
      </c>
      <c r="D4" s="2" t="s">
        <v>218</v>
      </c>
      <c r="E4" s="2" t="s">
        <v>219</v>
      </c>
      <c r="F4" s="2" t="s">
        <v>220</v>
      </c>
      <c r="G4" s="2" t="s">
        <v>227</v>
      </c>
    </row>
    <row r="5" spans="1:7" ht="22.05" customHeight="1" x14ac:dyDescent="0.3">
      <c r="A5" s="2" t="s">
        <v>228</v>
      </c>
      <c r="B5" s="2" t="s">
        <v>229</v>
      </c>
      <c r="C5" s="2" t="s">
        <v>230</v>
      </c>
      <c r="D5" s="2" t="s">
        <v>231</v>
      </c>
      <c r="E5" s="2" t="s">
        <v>232</v>
      </c>
      <c r="F5" s="2" t="s">
        <v>233</v>
      </c>
      <c r="G5" s="2" t="s">
        <v>224</v>
      </c>
    </row>
    <row r="6" spans="1:7" ht="22.05" customHeight="1" x14ac:dyDescent="0.3">
      <c r="A6" s="2" t="s">
        <v>234</v>
      </c>
      <c r="B6" s="2" t="s">
        <v>235</v>
      </c>
      <c r="C6" s="2" t="s">
        <v>230</v>
      </c>
      <c r="D6" s="2" t="s">
        <v>231</v>
      </c>
      <c r="E6" s="2" t="s">
        <v>232</v>
      </c>
      <c r="F6" s="2" t="s">
        <v>233</v>
      </c>
      <c r="G6" s="2" t="s">
        <v>221</v>
      </c>
    </row>
    <row r="7" spans="1:7" ht="22.05" customHeight="1" x14ac:dyDescent="0.3">
      <c r="A7" s="2" t="s">
        <v>236</v>
      </c>
      <c r="B7" s="2" t="s">
        <v>237</v>
      </c>
      <c r="C7" s="2" t="s">
        <v>230</v>
      </c>
      <c r="D7" s="2" t="s">
        <v>231</v>
      </c>
      <c r="E7" s="2" t="s">
        <v>232</v>
      </c>
      <c r="F7" s="2" t="s">
        <v>233</v>
      </c>
      <c r="G7" s="2" t="s">
        <v>224</v>
      </c>
    </row>
    <row r="8" spans="1:7" ht="22.05" customHeight="1" x14ac:dyDescent="0.3">
      <c r="A8" s="2" t="s">
        <v>238</v>
      </c>
      <c r="B8" s="2" t="s">
        <v>239</v>
      </c>
      <c r="C8" s="2" t="s">
        <v>240</v>
      </c>
      <c r="D8" s="2" t="s">
        <v>241</v>
      </c>
      <c r="E8" s="2" t="s">
        <v>242</v>
      </c>
      <c r="F8" s="2" t="s">
        <v>243</v>
      </c>
      <c r="G8" s="2" t="s">
        <v>224</v>
      </c>
    </row>
    <row r="9" spans="1:7" ht="22.05" customHeight="1" x14ac:dyDescent="0.3">
      <c r="A9" s="2" t="s">
        <v>244</v>
      </c>
      <c r="B9" s="2" t="s">
        <v>245</v>
      </c>
      <c r="C9" s="2" t="s">
        <v>240</v>
      </c>
      <c r="D9" s="2" t="s">
        <v>241</v>
      </c>
      <c r="E9" s="2" t="s">
        <v>242</v>
      </c>
      <c r="F9" s="2" t="s">
        <v>243</v>
      </c>
      <c r="G9" s="2" t="s">
        <v>221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3"/>
  <sheetViews>
    <sheetView showGridLines="0" workbookViewId="0"/>
  </sheetViews>
  <sheetFormatPr defaultRowHeight="14.4" x14ac:dyDescent="0.3"/>
  <cols>
    <col min="1" max="2" width="12" customWidth="1"/>
    <col min="3" max="3" width="16" customWidth="1"/>
    <col min="4" max="4" width="10" customWidth="1"/>
    <col min="5" max="5" width="18" customWidth="1"/>
    <col min="6" max="6" width="12" customWidth="1"/>
    <col min="7" max="7" width="14" customWidth="1"/>
    <col min="8" max="8" width="12" customWidth="1"/>
    <col min="9" max="12" width="18" customWidth="1"/>
    <col min="13" max="13" width="10" customWidth="1"/>
    <col min="14" max="14" width="12" customWidth="1"/>
    <col min="15" max="15" width="14" customWidth="1"/>
  </cols>
  <sheetData>
    <row r="1" spans="1:15" ht="28.05" customHeight="1" x14ac:dyDescent="0.3">
      <c r="A1" s="1" t="s">
        <v>246</v>
      </c>
      <c r="B1" s="1" t="s">
        <v>173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247</v>
      </c>
      <c r="H1" s="1" t="s">
        <v>248</v>
      </c>
      <c r="I1" s="1" t="s">
        <v>249</v>
      </c>
      <c r="J1" s="1" t="s">
        <v>179</v>
      </c>
      <c r="K1" s="1" t="s">
        <v>250</v>
      </c>
      <c r="L1" s="1" t="s">
        <v>182</v>
      </c>
      <c r="M1" s="1" t="s">
        <v>251</v>
      </c>
      <c r="N1" s="1" t="s">
        <v>252</v>
      </c>
      <c r="O1" s="1" t="s">
        <v>185</v>
      </c>
    </row>
    <row r="2" spans="1:15" ht="22.05" customHeight="1" x14ac:dyDescent="0.3">
      <c r="A2" s="2" t="s">
        <v>253</v>
      </c>
      <c r="B2" s="2" t="s">
        <v>215</v>
      </c>
      <c r="C2" s="2" t="s">
        <v>216</v>
      </c>
      <c r="D2" s="2" t="s">
        <v>217</v>
      </c>
      <c r="E2" s="2" t="s">
        <v>219</v>
      </c>
      <c r="F2" s="2" t="s">
        <v>220</v>
      </c>
      <c r="G2" s="2" t="s">
        <v>254</v>
      </c>
      <c r="H2" s="2">
        <v>2</v>
      </c>
      <c r="I2" s="4">
        <v>46102</v>
      </c>
      <c r="J2" s="4">
        <v>46102</v>
      </c>
      <c r="K2" s="4">
        <v>46106.2</v>
      </c>
      <c r="L2" s="4">
        <v>46106.2</v>
      </c>
      <c r="M2" s="2" t="s">
        <v>255</v>
      </c>
      <c r="N2" s="2" t="s">
        <v>256</v>
      </c>
      <c r="O2" s="5">
        <v>4.2</v>
      </c>
    </row>
    <row r="3" spans="1:15" ht="22.05" customHeight="1" x14ac:dyDescent="0.3">
      <c r="A3" s="2" t="s">
        <v>257</v>
      </c>
      <c r="B3" s="2" t="s">
        <v>215</v>
      </c>
      <c r="C3" s="2" t="s">
        <v>216</v>
      </c>
      <c r="D3" s="2" t="s">
        <v>217</v>
      </c>
      <c r="E3" s="2" t="s">
        <v>219</v>
      </c>
      <c r="F3" s="2" t="s">
        <v>220</v>
      </c>
      <c r="G3" s="2" t="s">
        <v>254</v>
      </c>
      <c r="H3" s="2">
        <v>5</v>
      </c>
      <c r="I3" s="4">
        <v>46085</v>
      </c>
      <c r="J3" s="4">
        <v>46085</v>
      </c>
      <c r="K3" s="4">
        <v>46087.7</v>
      </c>
      <c r="L3" s="4">
        <v>46088.7</v>
      </c>
      <c r="M3" s="2" t="s">
        <v>255</v>
      </c>
      <c r="N3" s="2" t="s">
        <v>256</v>
      </c>
      <c r="O3" s="5">
        <v>3.7</v>
      </c>
    </row>
    <row r="4" spans="1:15" ht="22.05" customHeight="1" x14ac:dyDescent="0.3">
      <c r="A4" s="2" t="s">
        <v>258</v>
      </c>
      <c r="B4" s="2" t="s">
        <v>215</v>
      </c>
      <c r="C4" s="2" t="s">
        <v>216</v>
      </c>
      <c r="D4" s="2" t="s">
        <v>217</v>
      </c>
      <c r="E4" s="2" t="s">
        <v>219</v>
      </c>
      <c r="F4" s="2" t="s">
        <v>220</v>
      </c>
      <c r="G4" s="2" t="s">
        <v>259</v>
      </c>
      <c r="H4" s="2">
        <v>2</v>
      </c>
      <c r="I4" s="4">
        <v>46123</v>
      </c>
      <c r="J4" s="4">
        <v>46123</v>
      </c>
      <c r="K4" s="4">
        <v>46125.9</v>
      </c>
      <c r="L4" s="4">
        <v>46126.9</v>
      </c>
      <c r="M4" s="2" t="s">
        <v>255</v>
      </c>
      <c r="N4" s="2" t="s">
        <v>260</v>
      </c>
      <c r="O4" s="5">
        <v>3.9</v>
      </c>
    </row>
    <row r="5" spans="1:15" ht="22.05" customHeight="1" x14ac:dyDescent="0.3">
      <c r="A5" s="2" t="s">
        <v>261</v>
      </c>
      <c r="B5" s="2" t="s">
        <v>215</v>
      </c>
      <c r="C5" s="2" t="s">
        <v>216</v>
      </c>
      <c r="D5" s="2" t="s">
        <v>217</v>
      </c>
      <c r="E5" s="2" t="s">
        <v>219</v>
      </c>
      <c r="F5" s="2" t="s">
        <v>220</v>
      </c>
      <c r="G5" s="2" t="s">
        <v>254</v>
      </c>
      <c r="H5" s="2">
        <v>3</v>
      </c>
      <c r="I5" s="4">
        <v>46127</v>
      </c>
      <c r="J5" s="4">
        <v>46127</v>
      </c>
      <c r="K5" s="4">
        <v>46130.9</v>
      </c>
      <c r="L5" s="4">
        <v>46130.9</v>
      </c>
      <c r="M5" s="2" t="s">
        <v>255</v>
      </c>
      <c r="N5" s="2" t="s">
        <v>260</v>
      </c>
      <c r="O5" s="5">
        <v>3.9</v>
      </c>
    </row>
    <row r="6" spans="1:15" ht="22.05" customHeight="1" x14ac:dyDescent="0.3">
      <c r="A6" s="2" t="s">
        <v>262</v>
      </c>
      <c r="B6" s="2" t="s">
        <v>222</v>
      </c>
      <c r="C6" s="2" t="s">
        <v>223</v>
      </c>
      <c r="D6" s="2" t="s">
        <v>217</v>
      </c>
      <c r="E6" s="2" t="s">
        <v>219</v>
      </c>
      <c r="F6" s="2" t="s">
        <v>220</v>
      </c>
      <c r="G6" s="2" t="s">
        <v>259</v>
      </c>
      <c r="H6" s="2">
        <v>3</v>
      </c>
      <c r="I6" s="4">
        <v>46087</v>
      </c>
      <c r="J6" s="4">
        <v>46088</v>
      </c>
      <c r="K6" s="4">
        <v>46092.7</v>
      </c>
      <c r="L6" s="4">
        <v>46092.7</v>
      </c>
      <c r="M6" s="2" t="s">
        <v>255</v>
      </c>
      <c r="N6" s="2" t="s">
        <v>256</v>
      </c>
      <c r="O6" s="5">
        <v>4.7</v>
      </c>
    </row>
    <row r="7" spans="1:15" ht="22.05" customHeight="1" x14ac:dyDescent="0.3">
      <c r="A7" s="2" t="s">
        <v>263</v>
      </c>
      <c r="B7" s="2" t="s">
        <v>222</v>
      </c>
      <c r="C7" s="2" t="s">
        <v>223</v>
      </c>
      <c r="D7" s="2" t="s">
        <v>217</v>
      </c>
      <c r="E7" s="2" t="s">
        <v>219</v>
      </c>
      <c r="F7" s="2" t="s">
        <v>220</v>
      </c>
      <c r="G7" s="2" t="s">
        <v>264</v>
      </c>
      <c r="H7" s="2">
        <v>5</v>
      </c>
      <c r="I7" s="4">
        <v>46095</v>
      </c>
      <c r="J7" s="4">
        <v>46095</v>
      </c>
      <c r="K7" s="4">
        <v>46102.1</v>
      </c>
      <c r="L7" s="4">
        <v>46102.1</v>
      </c>
      <c r="M7" s="2" t="s">
        <v>255</v>
      </c>
      <c r="N7" s="2" t="s">
        <v>256</v>
      </c>
      <c r="O7" s="5">
        <v>7.1</v>
      </c>
    </row>
    <row r="8" spans="1:15" ht="22.05" customHeight="1" x14ac:dyDescent="0.3">
      <c r="A8" s="2" t="s">
        <v>265</v>
      </c>
      <c r="B8" s="2" t="s">
        <v>222</v>
      </c>
      <c r="C8" s="2" t="s">
        <v>223</v>
      </c>
      <c r="D8" s="2" t="s">
        <v>217</v>
      </c>
      <c r="E8" s="2" t="s">
        <v>219</v>
      </c>
      <c r="F8" s="2" t="s">
        <v>220</v>
      </c>
      <c r="G8" s="2" t="s">
        <v>259</v>
      </c>
      <c r="H8" s="2">
        <v>8</v>
      </c>
      <c r="I8" s="4">
        <v>46121</v>
      </c>
      <c r="J8" s="4">
        <v>46121</v>
      </c>
      <c r="K8" s="4">
        <v>46125.4</v>
      </c>
      <c r="L8" s="4">
        <v>46126.400000000001</v>
      </c>
      <c r="M8" s="2" t="s">
        <v>255</v>
      </c>
      <c r="N8" s="2" t="s">
        <v>260</v>
      </c>
      <c r="O8" s="5">
        <v>5.4</v>
      </c>
    </row>
    <row r="9" spans="1:15" ht="22.05" customHeight="1" x14ac:dyDescent="0.3">
      <c r="A9" s="2" t="s">
        <v>266</v>
      </c>
      <c r="B9" s="2" t="s">
        <v>222</v>
      </c>
      <c r="C9" s="2" t="s">
        <v>223</v>
      </c>
      <c r="D9" s="2" t="s">
        <v>217</v>
      </c>
      <c r="E9" s="2" t="s">
        <v>219</v>
      </c>
      <c r="F9" s="2" t="s">
        <v>220</v>
      </c>
      <c r="G9" s="2" t="s">
        <v>254</v>
      </c>
      <c r="H9" s="2">
        <v>2</v>
      </c>
      <c r="I9" s="4">
        <v>46128</v>
      </c>
      <c r="J9" s="4">
        <v>46129</v>
      </c>
      <c r="K9" s="4">
        <v>46133.4</v>
      </c>
      <c r="L9" s="4">
        <v>46134.400000000001</v>
      </c>
      <c r="M9" s="2" t="s">
        <v>255</v>
      </c>
      <c r="N9" s="2" t="s">
        <v>260</v>
      </c>
      <c r="O9" s="5">
        <v>5.4</v>
      </c>
    </row>
    <row r="10" spans="1:15" ht="22.05" customHeight="1" x14ac:dyDescent="0.3">
      <c r="A10" s="2" t="s">
        <v>267</v>
      </c>
      <c r="B10" s="2" t="s">
        <v>225</v>
      </c>
      <c r="C10" s="2" t="s">
        <v>226</v>
      </c>
      <c r="D10" s="2" t="s">
        <v>217</v>
      </c>
      <c r="E10" s="2" t="s">
        <v>219</v>
      </c>
      <c r="F10" s="2" t="s">
        <v>220</v>
      </c>
      <c r="G10" s="2" t="s">
        <v>264</v>
      </c>
      <c r="H10" s="2">
        <v>3</v>
      </c>
      <c r="I10" s="4">
        <v>46096</v>
      </c>
      <c r="J10" s="4">
        <v>46096</v>
      </c>
      <c r="K10" s="4">
        <v>46099.7</v>
      </c>
      <c r="L10" s="4">
        <v>46100.7</v>
      </c>
      <c r="M10" s="2" t="s">
        <v>255</v>
      </c>
      <c r="N10" s="2" t="s">
        <v>256</v>
      </c>
      <c r="O10" s="5">
        <v>4.7</v>
      </c>
    </row>
    <row r="11" spans="1:15" ht="22.05" customHeight="1" x14ac:dyDescent="0.3">
      <c r="A11" s="2" t="s">
        <v>268</v>
      </c>
      <c r="B11" s="2" t="s">
        <v>225</v>
      </c>
      <c r="C11" s="2" t="s">
        <v>226</v>
      </c>
      <c r="D11" s="2" t="s">
        <v>217</v>
      </c>
      <c r="E11" s="2" t="s">
        <v>219</v>
      </c>
      <c r="F11" s="2" t="s">
        <v>220</v>
      </c>
      <c r="G11" s="2" t="s">
        <v>254</v>
      </c>
      <c r="H11" s="2">
        <v>2</v>
      </c>
      <c r="I11" s="4">
        <v>46101</v>
      </c>
      <c r="J11" s="4">
        <v>46101</v>
      </c>
      <c r="K11" s="4">
        <v>46102.8</v>
      </c>
      <c r="L11" s="4">
        <v>46103.8</v>
      </c>
      <c r="M11" s="2" t="s">
        <v>255</v>
      </c>
      <c r="N11" s="2" t="s">
        <v>256</v>
      </c>
      <c r="O11" s="5">
        <v>2.8</v>
      </c>
    </row>
    <row r="12" spans="1:15" ht="22.05" customHeight="1" x14ac:dyDescent="0.3">
      <c r="A12" s="2" t="s">
        <v>269</v>
      </c>
      <c r="B12" s="2" t="s">
        <v>225</v>
      </c>
      <c r="C12" s="2" t="s">
        <v>226</v>
      </c>
      <c r="D12" s="2" t="s">
        <v>217</v>
      </c>
      <c r="E12" s="2" t="s">
        <v>219</v>
      </c>
      <c r="F12" s="2" t="s">
        <v>220</v>
      </c>
      <c r="G12" s="2" t="s">
        <v>254</v>
      </c>
      <c r="H12" s="2">
        <v>8</v>
      </c>
      <c r="I12" s="4">
        <v>46115</v>
      </c>
      <c r="J12" s="4">
        <v>46116</v>
      </c>
      <c r="K12" s="4">
        <v>46120</v>
      </c>
      <c r="L12" s="4">
        <v>46120</v>
      </c>
      <c r="M12" s="2" t="s">
        <v>255</v>
      </c>
      <c r="N12" s="2" t="s">
        <v>260</v>
      </c>
      <c r="O12" s="5">
        <v>4</v>
      </c>
    </row>
    <row r="13" spans="1:15" ht="22.05" customHeight="1" x14ac:dyDescent="0.3">
      <c r="A13" s="2" t="s">
        <v>270</v>
      </c>
      <c r="B13" s="2" t="s">
        <v>225</v>
      </c>
      <c r="C13" s="2" t="s">
        <v>226</v>
      </c>
      <c r="D13" s="2" t="s">
        <v>217</v>
      </c>
      <c r="E13" s="2" t="s">
        <v>219</v>
      </c>
      <c r="F13" s="2" t="s">
        <v>220</v>
      </c>
      <c r="G13" s="2" t="s">
        <v>254</v>
      </c>
      <c r="H13" s="2">
        <v>8</v>
      </c>
      <c r="I13" s="4">
        <v>46125</v>
      </c>
      <c r="J13" s="4">
        <v>46126</v>
      </c>
      <c r="K13" s="4">
        <v>46128.4</v>
      </c>
      <c r="L13" s="4">
        <v>46129.4</v>
      </c>
      <c r="M13" s="2" t="s">
        <v>255</v>
      </c>
      <c r="N13" s="2" t="s">
        <v>260</v>
      </c>
      <c r="O13" s="5">
        <v>3.4</v>
      </c>
    </row>
    <row r="14" spans="1:15" ht="22.05" customHeight="1" x14ac:dyDescent="0.3">
      <c r="A14" s="2" t="s">
        <v>271</v>
      </c>
      <c r="B14" s="2" t="s">
        <v>228</v>
      </c>
      <c r="C14" s="2" t="s">
        <v>229</v>
      </c>
      <c r="D14" s="2" t="s">
        <v>230</v>
      </c>
      <c r="E14" s="2" t="s">
        <v>232</v>
      </c>
      <c r="F14" s="2" t="s">
        <v>233</v>
      </c>
      <c r="G14" s="2" t="s">
        <v>259</v>
      </c>
      <c r="H14" s="2">
        <v>8</v>
      </c>
      <c r="I14" s="4">
        <v>46084</v>
      </c>
      <c r="J14" s="4">
        <v>46084</v>
      </c>
      <c r="K14" s="4">
        <v>46087.6</v>
      </c>
      <c r="L14" s="4">
        <v>46087.6</v>
      </c>
      <c r="M14" s="2" t="s">
        <v>255</v>
      </c>
      <c r="N14" s="2" t="s">
        <v>256</v>
      </c>
      <c r="O14" s="5">
        <v>3.6</v>
      </c>
    </row>
    <row r="15" spans="1:15" ht="22.05" customHeight="1" x14ac:dyDescent="0.3">
      <c r="A15" s="2" t="s">
        <v>272</v>
      </c>
      <c r="B15" s="2" t="s">
        <v>228</v>
      </c>
      <c r="C15" s="2" t="s">
        <v>229</v>
      </c>
      <c r="D15" s="2" t="s">
        <v>230</v>
      </c>
      <c r="E15" s="2" t="s">
        <v>232</v>
      </c>
      <c r="F15" s="2" t="s">
        <v>233</v>
      </c>
      <c r="G15" s="2" t="s">
        <v>254</v>
      </c>
      <c r="H15" s="2">
        <v>5</v>
      </c>
      <c r="I15" s="4">
        <v>46086</v>
      </c>
      <c r="J15" s="4">
        <v>46086</v>
      </c>
      <c r="K15" s="4">
        <v>46090.5</v>
      </c>
      <c r="L15" s="4">
        <v>46090.5</v>
      </c>
      <c r="M15" s="2" t="s">
        <v>255</v>
      </c>
      <c r="N15" s="2" t="s">
        <v>256</v>
      </c>
      <c r="O15" s="5">
        <v>4.5</v>
      </c>
    </row>
    <row r="16" spans="1:15" ht="22.05" customHeight="1" x14ac:dyDescent="0.3">
      <c r="A16" s="2" t="s">
        <v>273</v>
      </c>
      <c r="B16" s="2" t="s">
        <v>228</v>
      </c>
      <c r="C16" s="2" t="s">
        <v>229</v>
      </c>
      <c r="D16" s="2" t="s">
        <v>230</v>
      </c>
      <c r="E16" s="2" t="s">
        <v>232</v>
      </c>
      <c r="F16" s="2" t="s">
        <v>233</v>
      </c>
      <c r="G16" s="2" t="s">
        <v>254</v>
      </c>
      <c r="H16" s="2">
        <v>2</v>
      </c>
      <c r="I16" s="4">
        <v>46120</v>
      </c>
      <c r="J16" s="4">
        <v>46120</v>
      </c>
      <c r="K16" s="4">
        <v>46122.3</v>
      </c>
      <c r="L16" s="4">
        <v>46122.3</v>
      </c>
      <c r="M16" s="2" t="s">
        <v>255</v>
      </c>
      <c r="N16" s="2" t="s">
        <v>260</v>
      </c>
      <c r="O16" s="5">
        <v>2.2999999999999998</v>
      </c>
    </row>
    <row r="17" spans="1:15" ht="22.05" customHeight="1" x14ac:dyDescent="0.3">
      <c r="A17" s="2" t="s">
        <v>274</v>
      </c>
      <c r="B17" s="2" t="s">
        <v>228</v>
      </c>
      <c r="C17" s="2" t="s">
        <v>229</v>
      </c>
      <c r="D17" s="2" t="s">
        <v>230</v>
      </c>
      <c r="E17" s="2" t="s">
        <v>232</v>
      </c>
      <c r="F17" s="2" t="s">
        <v>233</v>
      </c>
      <c r="G17" s="2" t="s">
        <v>264</v>
      </c>
      <c r="H17" s="2">
        <v>8</v>
      </c>
      <c r="I17" s="4">
        <v>46116</v>
      </c>
      <c r="J17" s="4">
        <v>46117</v>
      </c>
      <c r="K17" s="4">
        <v>46119.8</v>
      </c>
      <c r="L17" s="4">
        <v>46120.800000000003</v>
      </c>
      <c r="M17" s="2" t="s">
        <v>255</v>
      </c>
      <c r="N17" s="2" t="s">
        <v>260</v>
      </c>
      <c r="O17" s="5">
        <v>3.8</v>
      </c>
    </row>
    <row r="18" spans="1:15" ht="22.05" customHeight="1" x14ac:dyDescent="0.3">
      <c r="A18" s="2" t="s">
        <v>275</v>
      </c>
      <c r="B18" s="2" t="s">
        <v>234</v>
      </c>
      <c r="C18" s="2" t="s">
        <v>235</v>
      </c>
      <c r="D18" s="2" t="s">
        <v>230</v>
      </c>
      <c r="E18" s="2" t="s">
        <v>232</v>
      </c>
      <c r="F18" s="2" t="s">
        <v>233</v>
      </c>
      <c r="G18" s="2" t="s">
        <v>254</v>
      </c>
      <c r="H18" s="2">
        <v>3</v>
      </c>
      <c r="I18" s="4">
        <v>46083</v>
      </c>
      <c r="J18" s="4">
        <v>46083</v>
      </c>
      <c r="K18" s="4">
        <v>46086.2</v>
      </c>
      <c r="L18" s="4">
        <v>46087.199999999997</v>
      </c>
      <c r="M18" s="2" t="s">
        <v>255</v>
      </c>
      <c r="N18" s="2" t="s">
        <v>256</v>
      </c>
      <c r="O18" s="5">
        <v>4.2</v>
      </c>
    </row>
    <row r="19" spans="1:15" ht="22.05" customHeight="1" x14ac:dyDescent="0.3">
      <c r="A19" s="2" t="s">
        <v>276</v>
      </c>
      <c r="B19" s="2" t="s">
        <v>234</v>
      </c>
      <c r="C19" s="2" t="s">
        <v>235</v>
      </c>
      <c r="D19" s="2" t="s">
        <v>230</v>
      </c>
      <c r="E19" s="2" t="s">
        <v>232</v>
      </c>
      <c r="F19" s="2" t="s">
        <v>233</v>
      </c>
      <c r="G19" s="2" t="s">
        <v>259</v>
      </c>
      <c r="H19" s="2">
        <v>8</v>
      </c>
      <c r="I19" s="4">
        <v>46103</v>
      </c>
      <c r="J19" s="4">
        <v>46103</v>
      </c>
      <c r="K19" s="4">
        <v>46106.5</v>
      </c>
      <c r="L19" s="4">
        <v>46106.5</v>
      </c>
      <c r="M19" s="2" t="s">
        <v>255</v>
      </c>
      <c r="N19" s="2" t="s">
        <v>256</v>
      </c>
      <c r="O19" s="5">
        <v>3.5</v>
      </c>
    </row>
    <row r="20" spans="1:15" ht="22.05" customHeight="1" x14ac:dyDescent="0.3">
      <c r="A20" s="2" t="s">
        <v>277</v>
      </c>
      <c r="B20" s="2" t="s">
        <v>234</v>
      </c>
      <c r="C20" s="2" t="s">
        <v>235</v>
      </c>
      <c r="D20" s="2" t="s">
        <v>230</v>
      </c>
      <c r="E20" s="2" t="s">
        <v>232</v>
      </c>
      <c r="F20" s="2" t="s">
        <v>233</v>
      </c>
      <c r="G20" s="2" t="s">
        <v>254</v>
      </c>
      <c r="H20" s="2">
        <v>2</v>
      </c>
      <c r="I20" s="4">
        <v>46133</v>
      </c>
      <c r="J20" s="4">
        <v>46134</v>
      </c>
      <c r="K20" s="4">
        <v>46136.4</v>
      </c>
      <c r="L20" s="4">
        <v>46136.4</v>
      </c>
      <c r="M20" s="2" t="s">
        <v>255</v>
      </c>
      <c r="N20" s="2" t="s">
        <v>260</v>
      </c>
      <c r="O20" s="5">
        <v>2.4</v>
      </c>
    </row>
    <row r="21" spans="1:15" ht="22.05" customHeight="1" x14ac:dyDescent="0.3">
      <c r="A21" s="2" t="s">
        <v>278</v>
      </c>
      <c r="B21" s="2" t="s">
        <v>234</v>
      </c>
      <c r="C21" s="2" t="s">
        <v>235</v>
      </c>
      <c r="D21" s="2" t="s">
        <v>230</v>
      </c>
      <c r="E21" s="2" t="s">
        <v>232</v>
      </c>
      <c r="F21" s="2" t="s">
        <v>233</v>
      </c>
      <c r="G21" s="2" t="s">
        <v>259</v>
      </c>
      <c r="H21" s="2">
        <v>2</v>
      </c>
      <c r="I21" s="4">
        <v>46121</v>
      </c>
      <c r="J21" s="4">
        <v>46122</v>
      </c>
      <c r="K21" s="4">
        <v>46125.7</v>
      </c>
      <c r="L21" s="4">
        <v>46126.7</v>
      </c>
      <c r="M21" s="2" t="s">
        <v>255</v>
      </c>
      <c r="N21" s="2" t="s">
        <v>260</v>
      </c>
      <c r="O21" s="5">
        <v>4.7</v>
      </c>
    </row>
    <row r="22" spans="1:15" ht="22.05" customHeight="1" x14ac:dyDescent="0.3">
      <c r="A22" s="2" t="s">
        <v>279</v>
      </c>
      <c r="B22" s="2" t="s">
        <v>236</v>
      </c>
      <c r="C22" s="2" t="s">
        <v>237</v>
      </c>
      <c r="D22" s="2" t="s">
        <v>230</v>
      </c>
      <c r="E22" s="2" t="s">
        <v>232</v>
      </c>
      <c r="F22" s="2" t="s">
        <v>233</v>
      </c>
      <c r="G22" s="2" t="s">
        <v>254</v>
      </c>
      <c r="H22" s="2">
        <v>5</v>
      </c>
      <c r="I22" s="4">
        <v>46086</v>
      </c>
      <c r="J22" s="4">
        <v>46087</v>
      </c>
      <c r="K22" s="4">
        <v>46090.3</v>
      </c>
      <c r="L22" s="4">
        <v>46091.3</v>
      </c>
      <c r="M22" s="2" t="s">
        <v>255</v>
      </c>
      <c r="N22" s="2" t="s">
        <v>256</v>
      </c>
      <c r="O22" s="5">
        <v>4.3</v>
      </c>
    </row>
    <row r="23" spans="1:15" ht="22.05" customHeight="1" x14ac:dyDescent="0.3">
      <c r="A23" s="2" t="s">
        <v>280</v>
      </c>
      <c r="B23" s="2" t="s">
        <v>236</v>
      </c>
      <c r="C23" s="2" t="s">
        <v>237</v>
      </c>
      <c r="D23" s="2" t="s">
        <v>230</v>
      </c>
      <c r="E23" s="2" t="s">
        <v>232</v>
      </c>
      <c r="F23" s="2" t="s">
        <v>233</v>
      </c>
      <c r="G23" s="2" t="s">
        <v>259</v>
      </c>
      <c r="H23" s="2">
        <v>8</v>
      </c>
      <c r="I23" s="4">
        <v>46089</v>
      </c>
      <c r="J23" s="4">
        <v>46090</v>
      </c>
      <c r="K23" s="4">
        <v>46093.3</v>
      </c>
      <c r="L23" s="4">
        <v>46093.3</v>
      </c>
      <c r="M23" s="2" t="s">
        <v>255</v>
      </c>
      <c r="N23" s="2" t="s">
        <v>256</v>
      </c>
      <c r="O23" s="5">
        <v>3.3</v>
      </c>
    </row>
    <row r="24" spans="1:15" ht="22.05" customHeight="1" x14ac:dyDescent="0.3">
      <c r="A24" s="2" t="s">
        <v>281</v>
      </c>
      <c r="B24" s="2" t="s">
        <v>236</v>
      </c>
      <c r="C24" s="2" t="s">
        <v>237</v>
      </c>
      <c r="D24" s="2" t="s">
        <v>230</v>
      </c>
      <c r="E24" s="2" t="s">
        <v>232</v>
      </c>
      <c r="F24" s="2" t="s">
        <v>233</v>
      </c>
      <c r="G24" s="2" t="s">
        <v>264</v>
      </c>
      <c r="H24" s="2">
        <v>3</v>
      </c>
      <c r="I24" s="4">
        <v>46117</v>
      </c>
      <c r="J24" s="4">
        <v>46118</v>
      </c>
      <c r="K24" s="4">
        <v>46122.9</v>
      </c>
      <c r="L24" s="4">
        <v>46122.9</v>
      </c>
      <c r="M24" s="2" t="s">
        <v>255</v>
      </c>
      <c r="N24" s="2" t="s">
        <v>260</v>
      </c>
      <c r="O24" s="5">
        <v>4.9000000000000004</v>
      </c>
    </row>
    <row r="25" spans="1:15" ht="22.05" customHeight="1" x14ac:dyDescent="0.3">
      <c r="A25" s="2" t="s">
        <v>282</v>
      </c>
      <c r="B25" s="2" t="s">
        <v>236</v>
      </c>
      <c r="C25" s="2" t="s">
        <v>237</v>
      </c>
      <c r="D25" s="2" t="s">
        <v>230</v>
      </c>
      <c r="E25" s="2" t="s">
        <v>232</v>
      </c>
      <c r="F25" s="2" t="s">
        <v>233</v>
      </c>
      <c r="G25" s="2" t="s">
        <v>264</v>
      </c>
      <c r="H25" s="2">
        <v>2</v>
      </c>
      <c r="I25" s="4">
        <v>46123</v>
      </c>
      <c r="J25" s="4">
        <v>46123</v>
      </c>
      <c r="K25" s="4">
        <v>46125.8</v>
      </c>
      <c r="L25" s="4">
        <v>46125.8</v>
      </c>
      <c r="M25" s="2" t="s">
        <v>255</v>
      </c>
      <c r="N25" s="2" t="s">
        <v>260</v>
      </c>
      <c r="O25" s="5">
        <v>2.8</v>
      </c>
    </row>
    <row r="26" spans="1:15" ht="22.05" customHeight="1" x14ac:dyDescent="0.3">
      <c r="A26" s="2" t="s">
        <v>283</v>
      </c>
      <c r="B26" s="2" t="s">
        <v>238</v>
      </c>
      <c r="C26" s="2" t="s">
        <v>239</v>
      </c>
      <c r="D26" s="2" t="s">
        <v>240</v>
      </c>
      <c r="E26" s="2" t="s">
        <v>242</v>
      </c>
      <c r="F26" s="2" t="s">
        <v>243</v>
      </c>
      <c r="G26" s="2" t="s">
        <v>254</v>
      </c>
      <c r="H26" s="2">
        <v>3</v>
      </c>
      <c r="I26" s="4">
        <v>46096</v>
      </c>
      <c r="J26" s="4">
        <v>46097</v>
      </c>
      <c r="K26" s="4">
        <v>46102.3</v>
      </c>
      <c r="L26" s="4">
        <v>46102.3</v>
      </c>
      <c r="M26" s="2" t="s">
        <v>255</v>
      </c>
      <c r="N26" s="2" t="s">
        <v>256</v>
      </c>
      <c r="O26" s="5">
        <v>5.3</v>
      </c>
    </row>
    <row r="27" spans="1:15" ht="22.05" customHeight="1" x14ac:dyDescent="0.3">
      <c r="A27" s="2" t="s">
        <v>284</v>
      </c>
      <c r="B27" s="2" t="s">
        <v>238</v>
      </c>
      <c r="C27" s="2" t="s">
        <v>239</v>
      </c>
      <c r="D27" s="2" t="s">
        <v>240</v>
      </c>
      <c r="E27" s="2" t="s">
        <v>242</v>
      </c>
      <c r="F27" s="2" t="s">
        <v>243</v>
      </c>
      <c r="G27" s="2" t="s">
        <v>254</v>
      </c>
      <c r="H27" s="2">
        <v>5</v>
      </c>
      <c r="I27" s="4">
        <v>46085</v>
      </c>
      <c r="J27" s="4">
        <v>46085</v>
      </c>
      <c r="K27" s="4">
        <v>46090.6</v>
      </c>
      <c r="L27" s="4">
        <v>46091.6</v>
      </c>
      <c r="M27" s="2" t="s">
        <v>255</v>
      </c>
      <c r="N27" s="2" t="s">
        <v>256</v>
      </c>
      <c r="O27" s="5">
        <v>6.6</v>
      </c>
    </row>
    <row r="28" spans="1:15" ht="22.05" customHeight="1" x14ac:dyDescent="0.3">
      <c r="A28" s="2" t="s">
        <v>285</v>
      </c>
      <c r="B28" s="2" t="s">
        <v>238</v>
      </c>
      <c r="C28" s="2" t="s">
        <v>239</v>
      </c>
      <c r="D28" s="2" t="s">
        <v>240</v>
      </c>
      <c r="E28" s="2" t="s">
        <v>242</v>
      </c>
      <c r="F28" s="2" t="s">
        <v>243</v>
      </c>
      <c r="G28" s="2" t="s">
        <v>254</v>
      </c>
      <c r="H28" s="2">
        <v>3</v>
      </c>
      <c r="I28" s="4">
        <v>46131</v>
      </c>
      <c r="J28" s="4">
        <v>46131</v>
      </c>
      <c r="K28" s="4">
        <v>46136.800000000003</v>
      </c>
      <c r="L28" s="4">
        <v>46136.800000000003</v>
      </c>
      <c r="M28" s="2" t="s">
        <v>255</v>
      </c>
      <c r="N28" s="2" t="s">
        <v>260</v>
      </c>
      <c r="O28" s="5">
        <v>5.8</v>
      </c>
    </row>
    <row r="29" spans="1:15" ht="22.05" customHeight="1" x14ac:dyDescent="0.3">
      <c r="A29" s="2" t="s">
        <v>286</v>
      </c>
      <c r="B29" s="2" t="s">
        <v>238</v>
      </c>
      <c r="C29" s="2" t="s">
        <v>239</v>
      </c>
      <c r="D29" s="2" t="s">
        <v>240</v>
      </c>
      <c r="E29" s="2" t="s">
        <v>242</v>
      </c>
      <c r="F29" s="2" t="s">
        <v>243</v>
      </c>
      <c r="G29" s="2" t="s">
        <v>259</v>
      </c>
      <c r="H29" s="2">
        <v>3</v>
      </c>
      <c r="I29" s="4">
        <v>46129</v>
      </c>
      <c r="J29" s="4">
        <v>46130</v>
      </c>
      <c r="K29" s="4">
        <v>46136.2</v>
      </c>
      <c r="L29" s="4">
        <v>46137.2</v>
      </c>
      <c r="M29" s="2" t="s">
        <v>255</v>
      </c>
      <c r="N29" s="2" t="s">
        <v>260</v>
      </c>
      <c r="O29" s="5">
        <v>7.2</v>
      </c>
    </row>
    <row r="30" spans="1:15" ht="22.05" customHeight="1" x14ac:dyDescent="0.3">
      <c r="A30" s="2" t="s">
        <v>287</v>
      </c>
      <c r="B30" s="2" t="s">
        <v>244</v>
      </c>
      <c r="C30" s="2" t="s">
        <v>245</v>
      </c>
      <c r="D30" s="2" t="s">
        <v>240</v>
      </c>
      <c r="E30" s="2" t="s">
        <v>242</v>
      </c>
      <c r="F30" s="2" t="s">
        <v>243</v>
      </c>
      <c r="G30" s="2" t="s">
        <v>254</v>
      </c>
      <c r="H30" s="2">
        <v>8</v>
      </c>
      <c r="I30" s="4">
        <v>46082</v>
      </c>
      <c r="J30" s="4">
        <v>46083</v>
      </c>
      <c r="K30" s="4">
        <v>46086.7</v>
      </c>
      <c r="L30" s="4">
        <v>46087.7</v>
      </c>
      <c r="M30" s="2" t="s">
        <v>255</v>
      </c>
      <c r="N30" s="2" t="s">
        <v>256</v>
      </c>
      <c r="O30" s="5">
        <v>4.7</v>
      </c>
    </row>
    <row r="31" spans="1:15" ht="22.05" customHeight="1" x14ac:dyDescent="0.3">
      <c r="A31" s="2" t="s">
        <v>288</v>
      </c>
      <c r="B31" s="2" t="s">
        <v>244</v>
      </c>
      <c r="C31" s="2" t="s">
        <v>245</v>
      </c>
      <c r="D31" s="2" t="s">
        <v>240</v>
      </c>
      <c r="E31" s="2" t="s">
        <v>242</v>
      </c>
      <c r="F31" s="2" t="s">
        <v>243</v>
      </c>
      <c r="G31" s="2" t="s">
        <v>254</v>
      </c>
      <c r="H31" s="2">
        <v>3</v>
      </c>
      <c r="I31" s="4">
        <v>46087</v>
      </c>
      <c r="J31" s="4">
        <v>46087</v>
      </c>
      <c r="K31" s="4">
        <v>46090.400000000001</v>
      </c>
      <c r="L31" s="4">
        <v>46091.4</v>
      </c>
      <c r="M31" s="2" t="s">
        <v>255</v>
      </c>
      <c r="N31" s="2" t="s">
        <v>256</v>
      </c>
      <c r="O31" s="5">
        <v>4.4000000000000004</v>
      </c>
    </row>
    <row r="32" spans="1:15" ht="22.05" customHeight="1" x14ac:dyDescent="0.3">
      <c r="A32" s="2" t="s">
        <v>289</v>
      </c>
      <c r="B32" s="2" t="s">
        <v>244</v>
      </c>
      <c r="C32" s="2" t="s">
        <v>245</v>
      </c>
      <c r="D32" s="2" t="s">
        <v>240</v>
      </c>
      <c r="E32" s="2" t="s">
        <v>242</v>
      </c>
      <c r="F32" s="2" t="s">
        <v>243</v>
      </c>
      <c r="G32" s="2" t="s">
        <v>264</v>
      </c>
      <c r="H32" s="2">
        <v>2</v>
      </c>
      <c r="I32" s="4">
        <v>46125</v>
      </c>
      <c r="J32" s="4">
        <v>46126</v>
      </c>
      <c r="K32" s="4">
        <v>46130.5</v>
      </c>
      <c r="L32" s="4">
        <v>46130.5</v>
      </c>
      <c r="M32" s="2" t="s">
        <v>255</v>
      </c>
      <c r="N32" s="2" t="s">
        <v>260</v>
      </c>
      <c r="O32" s="5">
        <v>4.5</v>
      </c>
    </row>
    <row r="33" spans="1:15" ht="22.05" customHeight="1" x14ac:dyDescent="0.3">
      <c r="A33" s="2" t="s">
        <v>290</v>
      </c>
      <c r="B33" s="2" t="s">
        <v>244</v>
      </c>
      <c r="C33" s="2" t="s">
        <v>245</v>
      </c>
      <c r="D33" s="2" t="s">
        <v>240</v>
      </c>
      <c r="E33" s="2" t="s">
        <v>242</v>
      </c>
      <c r="F33" s="2" t="s">
        <v>243</v>
      </c>
      <c r="G33" s="2" t="s">
        <v>259</v>
      </c>
      <c r="H33" s="2">
        <v>8</v>
      </c>
      <c r="I33" s="4">
        <v>46130</v>
      </c>
      <c r="J33" s="4">
        <v>46131</v>
      </c>
      <c r="K33" s="4">
        <v>46135.1</v>
      </c>
      <c r="L33" s="4">
        <v>46136.1</v>
      </c>
      <c r="M33" s="2" t="s">
        <v>255</v>
      </c>
      <c r="N33" s="2" t="s">
        <v>260</v>
      </c>
      <c r="O33" s="5">
        <v>5.0999999999999996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3"/>
  <sheetViews>
    <sheetView showGridLines="0" workbookViewId="0"/>
  </sheetViews>
  <sheetFormatPr defaultRowHeight="14.4" x14ac:dyDescent="0.3"/>
  <cols>
    <col min="1" max="1" width="10" customWidth="1"/>
    <col min="2" max="3" width="12" customWidth="1"/>
    <col min="4" max="4" width="16" customWidth="1"/>
    <col min="5" max="5" width="10" customWidth="1"/>
    <col min="6" max="10" width="18" customWidth="1"/>
    <col min="11" max="11" width="10" customWidth="1"/>
    <col min="12" max="12" width="12" customWidth="1"/>
    <col min="13" max="14" width="16" customWidth="1"/>
    <col min="15" max="16" width="14" customWidth="1"/>
  </cols>
  <sheetData>
    <row r="1" spans="1:16" ht="28.05" customHeight="1" x14ac:dyDescent="0.3">
      <c r="A1" s="1" t="s">
        <v>291</v>
      </c>
      <c r="B1" s="1" t="s">
        <v>246</v>
      </c>
      <c r="C1" s="1" t="s">
        <v>173</v>
      </c>
      <c r="D1" s="1" t="s">
        <v>210</v>
      </c>
      <c r="E1" s="1" t="s">
        <v>211</v>
      </c>
      <c r="F1" s="1" t="s">
        <v>212</v>
      </c>
      <c r="G1" s="1" t="s">
        <v>187</v>
      </c>
      <c r="H1" s="1" t="s">
        <v>190</v>
      </c>
      <c r="I1" s="1" t="s">
        <v>292</v>
      </c>
      <c r="J1" s="1" t="s">
        <v>193</v>
      </c>
      <c r="K1" s="1" t="s">
        <v>251</v>
      </c>
      <c r="L1" s="1" t="s">
        <v>293</v>
      </c>
      <c r="M1" s="1" t="s">
        <v>196</v>
      </c>
      <c r="N1" s="1" t="s">
        <v>294</v>
      </c>
      <c r="O1" s="1" t="s">
        <v>295</v>
      </c>
      <c r="P1" s="1" t="s">
        <v>296</v>
      </c>
    </row>
    <row r="2" spans="1:16" ht="22.05" customHeight="1" x14ac:dyDescent="0.3">
      <c r="A2" s="2" t="s">
        <v>297</v>
      </c>
      <c r="B2" s="2" t="s">
        <v>253</v>
      </c>
      <c r="C2" s="2" t="s">
        <v>215</v>
      </c>
      <c r="D2" s="2" t="s">
        <v>216</v>
      </c>
      <c r="E2" s="2" t="s">
        <v>217</v>
      </c>
      <c r="F2" s="2" t="s">
        <v>219</v>
      </c>
      <c r="G2" s="4">
        <v>46105.908333333333</v>
      </c>
      <c r="H2" s="4">
        <v>46106.345833333333</v>
      </c>
      <c r="I2" s="4">
        <v>46106.929166666669</v>
      </c>
      <c r="J2" s="4">
        <v>46107.345833333333</v>
      </c>
      <c r="K2" s="2" t="s">
        <v>298</v>
      </c>
      <c r="L2" s="2" t="s">
        <v>256</v>
      </c>
      <c r="M2" s="5">
        <v>10.5</v>
      </c>
      <c r="N2" s="5">
        <v>34.5</v>
      </c>
      <c r="O2" s="2">
        <v>209</v>
      </c>
      <c r="P2" s="2">
        <v>3</v>
      </c>
    </row>
    <row r="3" spans="1:16" ht="22.05" customHeight="1" x14ac:dyDescent="0.3">
      <c r="A3" s="2" t="s">
        <v>299</v>
      </c>
      <c r="B3" s="2" t="s">
        <v>257</v>
      </c>
      <c r="C3" s="2" t="s">
        <v>215</v>
      </c>
      <c r="D3" s="2" t="s">
        <v>216</v>
      </c>
      <c r="E3" s="2" t="s">
        <v>217</v>
      </c>
      <c r="F3" s="2" t="s">
        <v>219</v>
      </c>
      <c r="G3" s="4">
        <v>46087.366666666669</v>
      </c>
      <c r="H3" s="4">
        <v>46087.974999999999</v>
      </c>
      <c r="I3" s="4">
        <v>46088.183333333327</v>
      </c>
      <c r="J3" s="4">
        <v>46088.51666666667</v>
      </c>
      <c r="K3" s="2" t="s">
        <v>298</v>
      </c>
      <c r="L3" s="2" t="s">
        <v>256</v>
      </c>
      <c r="M3" s="5">
        <v>14.6</v>
      </c>
      <c r="N3" s="5">
        <v>27.6</v>
      </c>
      <c r="O3" s="2">
        <v>468</v>
      </c>
      <c r="P3" s="2">
        <v>2</v>
      </c>
    </row>
    <row r="4" spans="1:16" ht="22.05" customHeight="1" x14ac:dyDescent="0.3">
      <c r="A4" s="2" t="s">
        <v>300</v>
      </c>
      <c r="B4" s="2" t="s">
        <v>258</v>
      </c>
      <c r="C4" s="2" t="s">
        <v>215</v>
      </c>
      <c r="D4" s="2" t="s">
        <v>216</v>
      </c>
      <c r="E4" s="2" t="s">
        <v>217</v>
      </c>
      <c r="F4" s="2" t="s">
        <v>219</v>
      </c>
      <c r="G4" s="4">
        <v>46125.60833333333</v>
      </c>
      <c r="H4" s="4">
        <v>46126.066666666673</v>
      </c>
      <c r="I4" s="4">
        <v>46126.48333333333</v>
      </c>
      <c r="J4" s="4">
        <v>46126.9</v>
      </c>
      <c r="K4" s="2" t="s">
        <v>298</v>
      </c>
      <c r="L4" s="2" t="s">
        <v>260</v>
      </c>
      <c r="M4" s="5">
        <v>11</v>
      </c>
      <c r="N4" s="5">
        <v>31</v>
      </c>
      <c r="O4" s="2">
        <v>247</v>
      </c>
      <c r="P4" s="2">
        <v>2</v>
      </c>
    </row>
    <row r="5" spans="1:16" ht="22.05" customHeight="1" x14ac:dyDescent="0.3">
      <c r="A5" s="2" t="s">
        <v>301</v>
      </c>
      <c r="B5" s="2" t="s">
        <v>261</v>
      </c>
      <c r="C5" s="2" t="s">
        <v>215</v>
      </c>
      <c r="D5" s="2" t="s">
        <v>216</v>
      </c>
      <c r="E5" s="2" t="s">
        <v>217</v>
      </c>
      <c r="F5" s="2" t="s">
        <v>219</v>
      </c>
      <c r="G5" s="4">
        <v>46130.566666666673</v>
      </c>
      <c r="H5" s="4">
        <v>46130.966666666667</v>
      </c>
      <c r="I5" s="4">
        <v>46131.216666666667</v>
      </c>
      <c r="J5" s="4">
        <v>46131.341666666667</v>
      </c>
      <c r="K5" s="2" t="s">
        <v>298</v>
      </c>
      <c r="L5" s="2" t="s">
        <v>260</v>
      </c>
      <c r="M5" s="5">
        <v>9.6</v>
      </c>
      <c r="N5" s="5">
        <v>18.600000000000001</v>
      </c>
      <c r="O5" s="2">
        <v>509</v>
      </c>
      <c r="P5" s="2">
        <v>2</v>
      </c>
    </row>
    <row r="6" spans="1:16" ht="22.05" customHeight="1" x14ac:dyDescent="0.3">
      <c r="A6" s="2" t="s">
        <v>302</v>
      </c>
      <c r="B6" s="2" t="s">
        <v>262</v>
      </c>
      <c r="C6" s="2" t="s">
        <v>222</v>
      </c>
      <c r="D6" s="2" t="s">
        <v>223</v>
      </c>
      <c r="E6" s="2" t="s">
        <v>217</v>
      </c>
      <c r="F6" s="2" t="s">
        <v>219</v>
      </c>
      <c r="G6" s="4">
        <v>46092.45</v>
      </c>
      <c r="H6" s="4">
        <v>46093.5625</v>
      </c>
      <c r="I6" s="4">
        <v>46094.145833333343</v>
      </c>
      <c r="J6" s="4">
        <v>46094.354166666657</v>
      </c>
      <c r="K6" s="2" t="s">
        <v>298</v>
      </c>
      <c r="L6" s="2" t="s">
        <v>256</v>
      </c>
      <c r="M6" s="5">
        <v>26.7</v>
      </c>
      <c r="N6" s="5">
        <v>45.7</v>
      </c>
      <c r="O6" s="2">
        <v>287</v>
      </c>
      <c r="P6" s="2">
        <v>2</v>
      </c>
    </row>
    <row r="7" spans="1:16" ht="22.05" customHeight="1" x14ac:dyDescent="0.3">
      <c r="A7" s="2" t="s">
        <v>303</v>
      </c>
      <c r="B7" s="2" t="s">
        <v>263</v>
      </c>
      <c r="C7" s="2" t="s">
        <v>222</v>
      </c>
      <c r="D7" s="2" t="s">
        <v>223</v>
      </c>
      <c r="E7" s="2" t="s">
        <v>217</v>
      </c>
      <c r="F7" s="2" t="s">
        <v>219</v>
      </c>
      <c r="G7" s="4">
        <v>46101.89166666667</v>
      </c>
      <c r="H7" s="4">
        <v>46102.79583333333</v>
      </c>
      <c r="I7" s="4">
        <v>46103.29583333333</v>
      </c>
      <c r="J7" s="4">
        <v>46103.587500000001</v>
      </c>
      <c r="K7" s="2" t="s">
        <v>298</v>
      </c>
      <c r="L7" s="2" t="s">
        <v>256</v>
      </c>
      <c r="M7" s="5">
        <v>21.7</v>
      </c>
      <c r="N7" s="5">
        <v>40.700000000000003</v>
      </c>
      <c r="O7" s="2">
        <v>337</v>
      </c>
      <c r="P7" s="2">
        <v>2</v>
      </c>
    </row>
    <row r="8" spans="1:16" ht="22.05" customHeight="1" x14ac:dyDescent="0.3">
      <c r="A8" s="2" t="s">
        <v>304</v>
      </c>
      <c r="B8" s="2" t="s">
        <v>265</v>
      </c>
      <c r="C8" s="2" t="s">
        <v>222</v>
      </c>
      <c r="D8" s="2" t="s">
        <v>223</v>
      </c>
      <c r="E8" s="2" t="s">
        <v>217</v>
      </c>
      <c r="F8" s="2" t="s">
        <v>219</v>
      </c>
      <c r="G8" s="4">
        <v>46125.15</v>
      </c>
      <c r="H8" s="4">
        <v>46126.279166666667</v>
      </c>
      <c r="I8" s="4">
        <v>46126.654166666667</v>
      </c>
      <c r="J8" s="4">
        <v>46126.945833333331</v>
      </c>
      <c r="K8" s="2" t="s">
        <v>298</v>
      </c>
      <c r="L8" s="2" t="s">
        <v>260</v>
      </c>
      <c r="M8" s="5">
        <v>27.1</v>
      </c>
      <c r="N8" s="5">
        <v>43.1</v>
      </c>
      <c r="O8" s="2">
        <v>344</v>
      </c>
      <c r="P8" s="2">
        <v>1</v>
      </c>
    </row>
    <row r="9" spans="1:16" ht="22.05" customHeight="1" x14ac:dyDescent="0.3">
      <c r="A9" s="2" t="s">
        <v>305</v>
      </c>
      <c r="B9" s="2" t="s">
        <v>266</v>
      </c>
      <c r="C9" s="2" t="s">
        <v>222</v>
      </c>
      <c r="D9" s="2" t="s">
        <v>223</v>
      </c>
      <c r="E9" s="2" t="s">
        <v>217</v>
      </c>
      <c r="F9" s="2" t="s">
        <v>219</v>
      </c>
      <c r="G9" s="4">
        <v>46133.10833333333</v>
      </c>
      <c r="H9" s="4">
        <v>46133.979166666657</v>
      </c>
      <c r="I9" s="4">
        <v>46134.4375</v>
      </c>
      <c r="J9" s="4">
        <v>46134.6875</v>
      </c>
      <c r="K9" s="2" t="s">
        <v>298</v>
      </c>
      <c r="L9" s="2" t="s">
        <v>260</v>
      </c>
      <c r="M9" s="5">
        <v>20.9</v>
      </c>
      <c r="N9" s="5">
        <v>37.9</v>
      </c>
      <c r="O9" s="2">
        <v>776</v>
      </c>
      <c r="P9" s="2">
        <v>2</v>
      </c>
    </row>
    <row r="10" spans="1:16" ht="22.05" customHeight="1" x14ac:dyDescent="0.3">
      <c r="A10" s="2" t="s">
        <v>306</v>
      </c>
      <c r="B10" s="2" t="s">
        <v>267</v>
      </c>
      <c r="C10" s="2" t="s">
        <v>225</v>
      </c>
      <c r="D10" s="2" t="s">
        <v>226</v>
      </c>
      <c r="E10" s="2" t="s">
        <v>217</v>
      </c>
      <c r="F10" s="2" t="s">
        <v>219</v>
      </c>
      <c r="G10" s="4">
        <v>46099.45</v>
      </c>
      <c r="H10" s="4">
        <v>46099.6875</v>
      </c>
      <c r="I10" s="4">
        <v>46099.854166666657</v>
      </c>
      <c r="J10" s="4">
        <v>46100.354166666657</v>
      </c>
      <c r="K10" s="2" t="s">
        <v>298</v>
      </c>
      <c r="L10" s="2" t="s">
        <v>256</v>
      </c>
      <c r="M10" s="5">
        <v>5.7</v>
      </c>
      <c r="N10" s="5">
        <v>21.7</v>
      </c>
      <c r="O10" s="2">
        <v>425</v>
      </c>
      <c r="P10" s="2">
        <v>3</v>
      </c>
    </row>
    <row r="11" spans="1:16" ht="22.05" customHeight="1" x14ac:dyDescent="0.3">
      <c r="A11" s="2" t="s">
        <v>307</v>
      </c>
      <c r="B11" s="2" t="s">
        <v>268</v>
      </c>
      <c r="C11" s="2" t="s">
        <v>225</v>
      </c>
      <c r="D11" s="2" t="s">
        <v>226</v>
      </c>
      <c r="E11" s="2" t="s">
        <v>217</v>
      </c>
      <c r="F11" s="2" t="s">
        <v>219</v>
      </c>
      <c r="G11" s="4">
        <v>46102.633333333331</v>
      </c>
      <c r="H11" s="4">
        <v>46103.195833333331</v>
      </c>
      <c r="I11" s="4">
        <v>46103.487500000003</v>
      </c>
      <c r="J11" s="4">
        <v>46103.695833333331</v>
      </c>
      <c r="K11" s="2" t="s">
        <v>298</v>
      </c>
      <c r="L11" s="2" t="s">
        <v>256</v>
      </c>
      <c r="M11" s="5">
        <v>13.5</v>
      </c>
      <c r="N11" s="5">
        <v>25.5</v>
      </c>
      <c r="O11" s="2">
        <v>179</v>
      </c>
      <c r="P11" s="2">
        <v>1</v>
      </c>
    </row>
    <row r="12" spans="1:16" ht="22.05" customHeight="1" x14ac:dyDescent="0.3">
      <c r="A12" s="2" t="s">
        <v>308</v>
      </c>
      <c r="B12" s="2" t="s">
        <v>269</v>
      </c>
      <c r="C12" s="2" t="s">
        <v>225</v>
      </c>
      <c r="D12" s="2" t="s">
        <v>226</v>
      </c>
      <c r="E12" s="2" t="s">
        <v>217</v>
      </c>
      <c r="F12" s="2" t="s">
        <v>219</v>
      </c>
      <c r="G12" s="4">
        <v>46119.75</v>
      </c>
      <c r="H12" s="4">
        <v>46119.916666666657</v>
      </c>
      <c r="I12" s="4">
        <v>46120.125</v>
      </c>
      <c r="J12" s="4">
        <v>46120.375</v>
      </c>
      <c r="K12" s="2" t="s">
        <v>298</v>
      </c>
      <c r="L12" s="2" t="s">
        <v>260</v>
      </c>
      <c r="M12" s="5">
        <v>4</v>
      </c>
      <c r="N12" s="5">
        <v>15</v>
      </c>
      <c r="O12" s="2">
        <v>660</v>
      </c>
      <c r="P12" s="2">
        <v>3</v>
      </c>
    </row>
    <row r="13" spans="1:16" ht="22.05" customHeight="1" x14ac:dyDescent="0.3">
      <c r="A13" s="2" t="s">
        <v>309</v>
      </c>
      <c r="B13" s="2" t="s">
        <v>270</v>
      </c>
      <c r="C13" s="2" t="s">
        <v>225</v>
      </c>
      <c r="D13" s="2" t="s">
        <v>226</v>
      </c>
      <c r="E13" s="2" t="s">
        <v>217</v>
      </c>
      <c r="F13" s="2" t="s">
        <v>219</v>
      </c>
      <c r="G13" s="4">
        <v>46128.316666666673</v>
      </c>
      <c r="H13" s="4">
        <v>46128.65</v>
      </c>
      <c r="I13" s="4">
        <v>46128.775000000001</v>
      </c>
      <c r="J13" s="4">
        <v>46129.23333333333</v>
      </c>
      <c r="K13" s="2" t="s">
        <v>298</v>
      </c>
      <c r="L13" s="2" t="s">
        <v>260</v>
      </c>
      <c r="M13" s="5">
        <v>8</v>
      </c>
      <c r="N13" s="5">
        <v>22</v>
      </c>
      <c r="O13" s="2">
        <v>687</v>
      </c>
      <c r="P13" s="2">
        <v>1</v>
      </c>
    </row>
    <row r="14" spans="1:16" ht="22.05" customHeight="1" x14ac:dyDescent="0.3">
      <c r="A14" s="2" t="s">
        <v>310</v>
      </c>
      <c r="B14" s="2" t="s">
        <v>271</v>
      </c>
      <c r="C14" s="2" t="s">
        <v>228</v>
      </c>
      <c r="D14" s="2" t="s">
        <v>229</v>
      </c>
      <c r="E14" s="2" t="s">
        <v>230</v>
      </c>
      <c r="F14" s="2" t="s">
        <v>232</v>
      </c>
      <c r="G14" s="4">
        <v>46087.474999999999</v>
      </c>
      <c r="H14" s="4">
        <v>46088.245833333327</v>
      </c>
      <c r="I14" s="4">
        <v>46088.870833333327</v>
      </c>
      <c r="J14" s="4">
        <v>46089.245833333327</v>
      </c>
      <c r="K14" s="2" t="s">
        <v>298</v>
      </c>
      <c r="L14" s="2" t="s">
        <v>256</v>
      </c>
      <c r="M14" s="5">
        <v>18.5</v>
      </c>
      <c r="N14" s="5">
        <v>42.5</v>
      </c>
      <c r="O14" s="2">
        <v>536</v>
      </c>
      <c r="P14" s="2">
        <v>1</v>
      </c>
    </row>
    <row r="15" spans="1:16" ht="22.05" customHeight="1" x14ac:dyDescent="0.3">
      <c r="A15" s="2" t="s">
        <v>311</v>
      </c>
      <c r="B15" s="2" t="s">
        <v>272</v>
      </c>
      <c r="C15" s="2" t="s">
        <v>228</v>
      </c>
      <c r="D15" s="2" t="s">
        <v>229</v>
      </c>
      <c r="E15" s="2" t="s">
        <v>230</v>
      </c>
      <c r="F15" s="2" t="s">
        <v>232</v>
      </c>
      <c r="G15" s="4">
        <v>46090.166666666657</v>
      </c>
      <c r="H15" s="4">
        <v>46090.833333333343</v>
      </c>
      <c r="I15" s="4">
        <v>46091.083333333343</v>
      </c>
      <c r="J15" s="4">
        <v>46091.5</v>
      </c>
      <c r="K15" s="2" t="s">
        <v>298</v>
      </c>
      <c r="L15" s="2" t="s">
        <v>256</v>
      </c>
      <c r="M15" s="5">
        <v>16</v>
      </c>
      <c r="N15" s="5">
        <v>32</v>
      </c>
      <c r="O15" s="2">
        <v>579</v>
      </c>
      <c r="P15" s="2">
        <v>1</v>
      </c>
    </row>
    <row r="16" spans="1:16" ht="22.05" customHeight="1" x14ac:dyDescent="0.3">
      <c r="A16" s="2" t="s">
        <v>312</v>
      </c>
      <c r="B16" s="2" t="s">
        <v>273</v>
      </c>
      <c r="C16" s="2" t="s">
        <v>228</v>
      </c>
      <c r="D16" s="2" t="s">
        <v>229</v>
      </c>
      <c r="E16" s="2" t="s">
        <v>230</v>
      </c>
      <c r="F16" s="2" t="s">
        <v>232</v>
      </c>
      <c r="G16" s="4">
        <v>46122.216666666667</v>
      </c>
      <c r="H16" s="4">
        <v>46122.916666666657</v>
      </c>
      <c r="I16" s="4">
        <v>46123.541666666657</v>
      </c>
      <c r="J16" s="4">
        <v>46123.75</v>
      </c>
      <c r="K16" s="2" t="s">
        <v>298</v>
      </c>
      <c r="L16" s="2" t="s">
        <v>260</v>
      </c>
      <c r="M16" s="5">
        <v>16.8</v>
      </c>
      <c r="N16" s="5">
        <v>36.799999999999997</v>
      </c>
      <c r="O16" s="2">
        <v>290</v>
      </c>
      <c r="P16" s="2">
        <v>2</v>
      </c>
    </row>
    <row r="17" spans="1:16" ht="22.05" customHeight="1" x14ac:dyDescent="0.3">
      <c r="A17" s="2" t="s">
        <v>313</v>
      </c>
      <c r="B17" s="2" t="s">
        <v>274</v>
      </c>
      <c r="C17" s="2" t="s">
        <v>228</v>
      </c>
      <c r="D17" s="2" t="s">
        <v>229</v>
      </c>
      <c r="E17" s="2" t="s">
        <v>230</v>
      </c>
      <c r="F17" s="2" t="s">
        <v>232</v>
      </c>
      <c r="G17" s="4">
        <v>46119.633333333331</v>
      </c>
      <c r="H17" s="4">
        <v>46119.845833333333</v>
      </c>
      <c r="I17" s="4">
        <v>46120.470833333333</v>
      </c>
      <c r="J17" s="4">
        <v>46120.887499999997</v>
      </c>
      <c r="K17" s="2" t="s">
        <v>298</v>
      </c>
      <c r="L17" s="2" t="s">
        <v>260</v>
      </c>
      <c r="M17" s="5">
        <v>5.0999999999999996</v>
      </c>
      <c r="N17" s="5">
        <v>30.1</v>
      </c>
      <c r="O17" s="2">
        <v>618</v>
      </c>
      <c r="P17" s="2">
        <v>1</v>
      </c>
    </row>
    <row r="18" spans="1:16" ht="22.05" customHeight="1" x14ac:dyDescent="0.3">
      <c r="A18" s="2" t="s">
        <v>314</v>
      </c>
      <c r="B18" s="2" t="s">
        <v>275</v>
      </c>
      <c r="C18" s="2" t="s">
        <v>234</v>
      </c>
      <c r="D18" s="2" t="s">
        <v>235</v>
      </c>
      <c r="E18" s="2" t="s">
        <v>230</v>
      </c>
      <c r="F18" s="2" t="s">
        <v>232</v>
      </c>
      <c r="G18" s="4">
        <v>46086.116666666669</v>
      </c>
      <c r="H18" s="4">
        <v>46086.558333333327</v>
      </c>
      <c r="I18" s="4">
        <v>46087.01666666667</v>
      </c>
      <c r="J18" s="4">
        <v>46087.14166666667</v>
      </c>
      <c r="K18" s="2" t="s">
        <v>298</v>
      </c>
      <c r="L18" s="2" t="s">
        <v>256</v>
      </c>
      <c r="M18" s="5">
        <v>10.6</v>
      </c>
      <c r="N18" s="5">
        <v>24.6</v>
      </c>
      <c r="O18" s="2">
        <v>310</v>
      </c>
      <c r="P18" s="2">
        <v>1</v>
      </c>
    </row>
    <row r="19" spans="1:16" ht="22.05" customHeight="1" x14ac:dyDescent="0.3">
      <c r="A19" s="2" t="s">
        <v>315</v>
      </c>
      <c r="B19" s="2" t="s">
        <v>276</v>
      </c>
      <c r="C19" s="2" t="s">
        <v>234</v>
      </c>
      <c r="D19" s="2" t="s">
        <v>235</v>
      </c>
      <c r="E19" s="2" t="s">
        <v>230</v>
      </c>
      <c r="F19" s="2" t="s">
        <v>232</v>
      </c>
      <c r="G19" s="4">
        <v>46106.208333333343</v>
      </c>
      <c r="H19" s="4">
        <v>46106.533333333333</v>
      </c>
      <c r="I19" s="4">
        <v>46106.824999999997</v>
      </c>
      <c r="J19" s="4">
        <v>46107.033333333333</v>
      </c>
      <c r="K19" s="2" t="s">
        <v>298</v>
      </c>
      <c r="L19" s="2" t="s">
        <v>256</v>
      </c>
      <c r="M19" s="5">
        <v>7.8</v>
      </c>
      <c r="N19" s="5">
        <v>19.8</v>
      </c>
      <c r="O19" s="2">
        <v>441</v>
      </c>
      <c r="P19" s="2">
        <v>1</v>
      </c>
    </row>
    <row r="20" spans="1:16" ht="22.05" customHeight="1" x14ac:dyDescent="0.3">
      <c r="A20" s="2" t="s">
        <v>316</v>
      </c>
      <c r="B20" s="2" t="s">
        <v>277</v>
      </c>
      <c r="C20" s="2" t="s">
        <v>234</v>
      </c>
      <c r="D20" s="2" t="s">
        <v>235</v>
      </c>
      <c r="E20" s="2" t="s">
        <v>230</v>
      </c>
      <c r="F20" s="2" t="s">
        <v>232</v>
      </c>
      <c r="G20" s="4">
        <v>46136.316666666673</v>
      </c>
      <c r="H20" s="4">
        <v>46136.916666666657</v>
      </c>
      <c r="I20" s="4">
        <v>46137.375</v>
      </c>
      <c r="J20" s="4">
        <v>46137.583333333343</v>
      </c>
      <c r="K20" s="2" t="s">
        <v>298</v>
      </c>
      <c r="L20" s="2" t="s">
        <v>260</v>
      </c>
      <c r="M20" s="5">
        <v>14.4</v>
      </c>
      <c r="N20" s="5">
        <v>30.4</v>
      </c>
      <c r="O20" s="2">
        <v>638</v>
      </c>
      <c r="P20" s="2">
        <v>2</v>
      </c>
    </row>
    <row r="21" spans="1:16" ht="22.05" customHeight="1" x14ac:dyDescent="0.3">
      <c r="A21" s="2" t="s">
        <v>317</v>
      </c>
      <c r="B21" s="2" t="s">
        <v>278</v>
      </c>
      <c r="C21" s="2" t="s">
        <v>234</v>
      </c>
      <c r="D21" s="2" t="s">
        <v>235</v>
      </c>
      <c r="E21" s="2" t="s">
        <v>230</v>
      </c>
      <c r="F21" s="2" t="s">
        <v>232</v>
      </c>
      <c r="G21" s="4">
        <v>46125.408333333333</v>
      </c>
      <c r="H21" s="4">
        <v>46125.966666666667</v>
      </c>
      <c r="I21" s="4">
        <v>46126.508333333331</v>
      </c>
      <c r="J21" s="4">
        <v>46126.633333333331</v>
      </c>
      <c r="K21" s="2" t="s">
        <v>298</v>
      </c>
      <c r="L21" s="2" t="s">
        <v>260</v>
      </c>
      <c r="M21" s="5">
        <v>13.4</v>
      </c>
      <c r="N21" s="5">
        <v>29.4</v>
      </c>
      <c r="O21" s="2">
        <v>257</v>
      </c>
      <c r="P21" s="2">
        <v>2</v>
      </c>
    </row>
    <row r="22" spans="1:16" ht="22.05" customHeight="1" x14ac:dyDescent="0.3">
      <c r="A22" s="2" t="s">
        <v>318</v>
      </c>
      <c r="B22" s="2" t="s">
        <v>279</v>
      </c>
      <c r="C22" s="2" t="s">
        <v>236</v>
      </c>
      <c r="D22" s="2" t="s">
        <v>237</v>
      </c>
      <c r="E22" s="2" t="s">
        <v>230</v>
      </c>
      <c r="F22" s="2" t="s">
        <v>232</v>
      </c>
      <c r="G22" s="4">
        <v>46090.05</v>
      </c>
      <c r="H22" s="4">
        <v>46090.912499999999</v>
      </c>
      <c r="I22" s="4">
        <v>46091.32916666667</v>
      </c>
      <c r="J22" s="4">
        <v>46091.57916666667</v>
      </c>
      <c r="K22" s="2" t="s">
        <v>298</v>
      </c>
      <c r="L22" s="2" t="s">
        <v>256</v>
      </c>
      <c r="M22" s="5">
        <v>20.7</v>
      </c>
      <c r="N22" s="5">
        <v>36.700000000000003</v>
      </c>
      <c r="O22" s="2">
        <v>172</v>
      </c>
      <c r="P22" s="2">
        <v>1</v>
      </c>
    </row>
    <row r="23" spans="1:16" ht="22.05" customHeight="1" x14ac:dyDescent="0.3">
      <c r="A23" s="2" t="s">
        <v>319</v>
      </c>
      <c r="B23" s="2" t="s">
        <v>280</v>
      </c>
      <c r="C23" s="2" t="s">
        <v>236</v>
      </c>
      <c r="D23" s="2" t="s">
        <v>237</v>
      </c>
      <c r="E23" s="2" t="s">
        <v>230</v>
      </c>
      <c r="F23" s="2" t="s">
        <v>232</v>
      </c>
      <c r="G23" s="4">
        <v>46093.05</v>
      </c>
      <c r="H23" s="4">
        <v>46093.866666666669</v>
      </c>
      <c r="I23" s="4">
        <v>46094.45</v>
      </c>
      <c r="J23" s="4">
        <v>46094.616666666669</v>
      </c>
      <c r="K23" s="2" t="s">
        <v>298</v>
      </c>
      <c r="L23" s="2" t="s">
        <v>256</v>
      </c>
      <c r="M23" s="5">
        <v>19.600000000000001</v>
      </c>
      <c r="N23" s="5">
        <v>37.6</v>
      </c>
      <c r="O23" s="2">
        <v>678</v>
      </c>
      <c r="P23" s="2">
        <v>1</v>
      </c>
    </row>
    <row r="24" spans="1:16" ht="22.05" customHeight="1" x14ac:dyDescent="0.3">
      <c r="A24" s="2" t="s">
        <v>320</v>
      </c>
      <c r="B24" s="2" t="s">
        <v>281</v>
      </c>
      <c r="C24" s="2" t="s">
        <v>236</v>
      </c>
      <c r="D24" s="2" t="s">
        <v>237</v>
      </c>
      <c r="E24" s="2" t="s">
        <v>230</v>
      </c>
      <c r="F24" s="2" t="s">
        <v>232</v>
      </c>
      <c r="G24" s="4">
        <v>46122.60833333333</v>
      </c>
      <c r="H24" s="4">
        <v>46123.462500000001</v>
      </c>
      <c r="I24" s="4">
        <v>46123.712500000001</v>
      </c>
      <c r="J24" s="4">
        <v>46124.212500000001</v>
      </c>
      <c r="K24" s="2" t="s">
        <v>298</v>
      </c>
      <c r="L24" s="2" t="s">
        <v>260</v>
      </c>
      <c r="M24" s="5">
        <v>20.5</v>
      </c>
      <c r="N24" s="5">
        <v>38.5</v>
      </c>
      <c r="O24" s="2">
        <v>225</v>
      </c>
      <c r="P24" s="2">
        <v>2</v>
      </c>
    </row>
    <row r="25" spans="1:16" ht="22.05" customHeight="1" x14ac:dyDescent="0.3">
      <c r="A25" s="2" t="s">
        <v>321</v>
      </c>
      <c r="B25" s="2" t="s">
        <v>282</v>
      </c>
      <c r="C25" s="2" t="s">
        <v>236</v>
      </c>
      <c r="D25" s="2" t="s">
        <v>237</v>
      </c>
      <c r="E25" s="2" t="s">
        <v>230</v>
      </c>
      <c r="F25" s="2" t="s">
        <v>232</v>
      </c>
      <c r="G25" s="4">
        <v>46125.675000000003</v>
      </c>
      <c r="H25" s="4">
        <v>46126.412499999999</v>
      </c>
      <c r="I25" s="4">
        <v>46126.787499999999</v>
      </c>
      <c r="J25" s="4">
        <v>46127.287499999999</v>
      </c>
      <c r="K25" s="2" t="s">
        <v>298</v>
      </c>
      <c r="L25" s="2" t="s">
        <v>260</v>
      </c>
      <c r="M25" s="5">
        <v>17.7</v>
      </c>
      <c r="N25" s="5">
        <v>38.700000000000003</v>
      </c>
      <c r="O25" s="2">
        <v>374</v>
      </c>
      <c r="P25" s="2">
        <v>2</v>
      </c>
    </row>
    <row r="26" spans="1:16" ht="22.05" customHeight="1" x14ac:dyDescent="0.3">
      <c r="A26" s="2" t="s">
        <v>322</v>
      </c>
      <c r="B26" s="2" t="s">
        <v>283</v>
      </c>
      <c r="C26" s="2" t="s">
        <v>238</v>
      </c>
      <c r="D26" s="2" t="s">
        <v>239</v>
      </c>
      <c r="E26" s="2" t="s">
        <v>240</v>
      </c>
      <c r="F26" s="2" t="s">
        <v>242</v>
      </c>
      <c r="G26" s="4">
        <v>46102.091666666667</v>
      </c>
      <c r="H26" s="4">
        <v>46103.037499999999</v>
      </c>
      <c r="I26" s="4">
        <v>46103.370833333327</v>
      </c>
      <c r="J26" s="4">
        <v>46103.620833333327</v>
      </c>
      <c r="K26" s="2" t="s">
        <v>298</v>
      </c>
      <c r="L26" s="2" t="s">
        <v>256</v>
      </c>
      <c r="M26" s="5">
        <v>22.7</v>
      </c>
      <c r="N26" s="5">
        <v>36.700000000000003</v>
      </c>
      <c r="O26" s="2">
        <v>191</v>
      </c>
      <c r="P26" s="2">
        <v>2</v>
      </c>
    </row>
    <row r="27" spans="1:16" ht="22.05" customHeight="1" x14ac:dyDescent="0.3">
      <c r="A27" s="2" t="s">
        <v>323</v>
      </c>
      <c r="B27" s="2" t="s">
        <v>284</v>
      </c>
      <c r="C27" s="2" t="s">
        <v>238</v>
      </c>
      <c r="D27" s="2" t="s">
        <v>239</v>
      </c>
      <c r="E27" s="2" t="s">
        <v>240</v>
      </c>
      <c r="F27" s="2" t="s">
        <v>242</v>
      </c>
      <c r="G27" s="4">
        <v>46090.51666666667</v>
      </c>
      <c r="H27" s="4">
        <v>46091.320833333331</v>
      </c>
      <c r="I27" s="4">
        <v>46091.904166666667</v>
      </c>
      <c r="J27" s="4">
        <v>46092.195833333331</v>
      </c>
      <c r="K27" s="2" t="s">
        <v>298</v>
      </c>
      <c r="L27" s="2" t="s">
        <v>256</v>
      </c>
      <c r="M27" s="5">
        <v>19.3</v>
      </c>
      <c r="N27" s="5">
        <v>40.299999999999997</v>
      </c>
      <c r="O27" s="2">
        <v>566</v>
      </c>
      <c r="P27" s="2">
        <v>3</v>
      </c>
    </row>
    <row r="28" spans="1:16" ht="22.05" customHeight="1" x14ac:dyDescent="0.3">
      <c r="A28" s="2" t="s">
        <v>324</v>
      </c>
      <c r="B28" s="2" t="s">
        <v>285</v>
      </c>
      <c r="C28" s="2" t="s">
        <v>238</v>
      </c>
      <c r="D28" s="2" t="s">
        <v>239</v>
      </c>
      <c r="E28" s="2" t="s">
        <v>240</v>
      </c>
      <c r="F28" s="2" t="s">
        <v>242</v>
      </c>
      <c r="G28" s="4">
        <v>46136.633333333331</v>
      </c>
      <c r="H28" s="4">
        <v>46137.5625</v>
      </c>
      <c r="I28" s="4">
        <v>46137.9375</v>
      </c>
      <c r="J28" s="4">
        <v>46138.0625</v>
      </c>
      <c r="K28" s="2" t="s">
        <v>298</v>
      </c>
      <c r="L28" s="2" t="s">
        <v>260</v>
      </c>
      <c r="M28" s="5">
        <v>22.3</v>
      </c>
      <c r="N28" s="5">
        <v>34.299999999999997</v>
      </c>
      <c r="O28" s="2">
        <v>458</v>
      </c>
      <c r="P28" s="2">
        <v>3</v>
      </c>
    </row>
    <row r="29" spans="1:16" ht="22.05" customHeight="1" x14ac:dyDescent="0.3">
      <c r="A29" s="2" t="s">
        <v>325</v>
      </c>
      <c r="B29" s="2" t="s">
        <v>286</v>
      </c>
      <c r="C29" s="2" t="s">
        <v>238</v>
      </c>
      <c r="D29" s="2" t="s">
        <v>239</v>
      </c>
      <c r="E29" s="2" t="s">
        <v>240</v>
      </c>
      <c r="F29" s="2" t="s">
        <v>242</v>
      </c>
      <c r="G29" s="4">
        <v>46136.074999999997</v>
      </c>
      <c r="H29" s="4">
        <v>46136.395833333343</v>
      </c>
      <c r="I29" s="4">
        <v>46136.9375</v>
      </c>
      <c r="J29" s="4">
        <v>46137.104166666657</v>
      </c>
      <c r="K29" s="2" t="s">
        <v>298</v>
      </c>
      <c r="L29" s="2" t="s">
        <v>260</v>
      </c>
      <c r="M29" s="5">
        <v>7.7</v>
      </c>
      <c r="N29" s="5">
        <v>24.7</v>
      </c>
      <c r="O29" s="2">
        <v>750</v>
      </c>
      <c r="P29" s="2">
        <v>3</v>
      </c>
    </row>
    <row r="30" spans="1:16" ht="22.05" customHeight="1" x14ac:dyDescent="0.3">
      <c r="A30" s="2" t="s">
        <v>326</v>
      </c>
      <c r="B30" s="2" t="s">
        <v>287</v>
      </c>
      <c r="C30" s="2" t="s">
        <v>244</v>
      </c>
      <c r="D30" s="2" t="s">
        <v>245</v>
      </c>
      <c r="E30" s="2" t="s">
        <v>240</v>
      </c>
      <c r="F30" s="2" t="s">
        <v>242</v>
      </c>
      <c r="G30" s="4">
        <v>46086.408333333333</v>
      </c>
      <c r="H30" s="4">
        <v>46087.120833333327</v>
      </c>
      <c r="I30" s="4">
        <v>46087.370833333327</v>
      </c>
      <c r="J30" s="4">
        <v>46087.787499999999</v>
      </c>
      <c r="K30" s="2" t="s">
        <v>298</v>
      </c>
      <c r="L30" s="2" t="s">
        <v>256</v>
      </c>
      <c r="M30" s="5">
        <v>17.100000000000001</v>
      </c>
      <c r="N30" s="5">
        <v>33.1</v>
      </c>
      <c r="O30" s="2">
        <v>604</v>
      </c>
      <c r="P30" s="2">
        <v>1</v>
      </c>
    </row>
    <row r="31" spans="1:16" ht="22.05" customHeight="1" x14ac:dyDescent="0.3">
      <c r="A31" s="2" t="s">
        <v>327</v>
      </c>
      <c r="B31" s="2" t="s">
        <v>288</v>
      </c>
      <c r="C31" s="2" t="s">
        <v>244</v>
      </c>
      <c r="D31" s="2" t="s">
        <v>245</v>
      </c>
      <c r="E31" s="2" t="s">
        <v>240</v>
      </c>
      <c r="F31" s="2" t="s">
        <v>242</v>
      </c>
      <c r="G31" s="4">
        <v>46090.275000000001</v>
      </c>
      <c r="H31" s="4">
        <v>46090.941666666673</v>
      </c>
      <c r="I31" s="4">
        <v>46091.35833333333</v>
      </c>
      <c r="J31" s="4">
        <v>46091.816666666673</v>
      </c>
      <c r="K31" s="2" t="s">
        <v>298</v>
      </c>
      <c r="L31" s="2" t="s">
        <v>256</v>
      </c>
      <c r="M31" s="5">
        <v>16</v>
      </c>
      <c r="N31" s="5">
        <v>37</v>
      </c>
      <c r="O31" s="2">
        <v>194</v>
      </c>
      <c r="P31" s="2">
        <v>2</v>
      </c>
    </row>
    <row r="32" spans="1:16" ht="22.05" customHeight="1" x14ac:dyDescent="0.3">
      <c r="A32" s="2" t="s">
        <v>328</v>
      </c>
      <c r="B32" s="2" t="s">
        <v>289</v>
      </c>
      <c r="C32" s="2" t="s">
        <v>244</v>
      </c>
      <c r="D32" s="2" t="s">
        <v>245</v>
      </c>
      <c r="E32" s="2" t="s">
        <v>240</v>
      </c>
      <c r="F32" s="2" t="s">
        <v>242</v>
      </c>
      <c r="G32" s="4">
        <v>46130.166666666657</v>
      </c>
      <c r="H32" s="4">
        <v>46130.762499999997</v>
      </c>
      <c r="I32" s="4">
        <v>46131.137499999997</v>
      </c>
      <c r="J32" s="4">
        <v>46131.345833333333</v>
      </c>
      <c r="K32" s="2" t="s">
        <v>298</v>
      </c>
      <c r="L32" s="2" t="s">
        <v>260</v>
      </c>
      <c r="M32" s="5">
        <v>14.3</v>
      </c>
      <c r="N32" s="5">
        <v>28.3</v>
      </c>
      <c r="O32" s="2">
        <v>300</v>
      </c>
      <c r="P32" s="2">
        <v>3</v>
      </c>
    </row>
    <row r="33" spans="1:16" ht="22.05" customHeight="1" x14ac:dyDescent="0.3">
      <c r="A33" s="2" t="s">
        <v>329</v>
      </c>
      <c r="B33" s="2" t="s">
        <v>290</v>
      </c>
      <c r="C33" s="2" t="s">
        <v>244</v>
      </c>
      <c r="D33" s="2" t="s">
        <v>245</v>
      </c>
      <c r="E33" s="2" t="s">
        <v>240</v>
      </c>
      <c r="F33" s="2" t="s">
        <v>242</v>
      </c>
      <c r="G33" s="4">
        <v>46134.76666666667</v>
      </c>
      <c r="H33" s="4">
        <v>46135.458333333343</v>
      </c>
      <c r="I33" s="4">
        <v>46135.666666666657</v>
      </c>
      <c r="J33" s="4">
        <v>46136.041666666657</v>
      </c>
      <c r="K33" s="2" t="s">
        <v>298</v>
      </c>
      <c r="L33" s="2" t="s">
        <v>260</v>
      </c>
      <c r="M33" s="5">
        <v>16.600000000000001</v>
      </c>
      <c r="N33" s="5">
        <v>30.6</v>
      </c>
      <c r="O33" s="2">
        <v>580</v>
      </c>
      <c r="P33" s="2">
        <v>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3"/>
  <sheetViews>
    <sheetView showGridLines="0" workbookViewId="0"/>
  </sheetViews>
  <sheetFormatPr defaultRowHeight="14.4" x14ac:dyDescent="0.3"/>
  <cols>
    <col min="1" max="1" width="14" customWidth="1"/>
    <col min="2" max="2" width="10" customWidth="1"/>
    <col min="3" max="4" width="12" customWidth="1"/>
    <col min="5" max="5" width="16" customWidth="1"/>
    <col min="6" max="6" width="10" customWidth="1"/>
    <col min="7" max="7" width="18" customWidth="1"/>
    <col min="8" max="8" width="12" customWidth="1"/>
    <col min="9" max="10" width="18" customWidth="1"/>
    <col min="11" max="11" width="10" customWidth="1"/>
    <col min="12" max="12" width="12" customWidth="1"/>
    <col min="13" max="14" width="14" customWidth="1"/>
  </cols>
  <sheetData>
    <row r="1" spans="1:14" ht="28.05" customHeight="1" x14ac:dyDescent="0.3">
      <c r="A1" s="1" t="s">
        <v>330</v>
      </c>
      <c r="B1" s="1" t="s">
        <v>291</v>
      </c>
      <c r="C1" s="1" t="s">
        <v>246</v>
      </c>
      <c r="D1" s="1" t="s">
        <v>173</v>
      </c>
      <c r="E1" s="1" t="s">
        <v>210</v>
      </c>
      <c r="F1" s="1" t="s">
        <v>211</v>
      </c>
      <c r="G1" s="1" t="s">
        <v>212</v>
      </c>
      <c r="H1" s="1" t="s">
        <v>331</v>
      </c>
      <c r="I1" s="1" t="s">
        <v>332</v>
      </c>
      <c r="J1" s="1" t="s">
        <v>199</v>
      </c>
      <c r="K1" s="1" t="s">
        <v>251</v>
      </c>
      <c r="L1" s="1" t="s">
        <v>333</v>
      </c>
      <c r="M1" s="1" t="s">
        <v>202</v>
      </c>
      <c r="N1" s="1" t="s">
        <v>334</v>
      </c>
    </row>
    <row r="2" spans="1:14" ht="22.05" customHeight="1" x14ac:dyDescent="0.3">
      <c r="A2" s="2" t="s">
        <v>335</v>
      </c>
      <c r="B2" s="2" t="s">
        <v>297</v>
      </c>
      <c r="C2" s="2" t="s">
        <v>253</v>
      </c>
      <c r="D2" s="2" t="s">
        <v>215</v>
      </c>
      <c r="E2" s="2" t="s">
        <v>216</v>
      </c>
      <c r="F2" s="2" t="s">
        <v>217</v>
      </c>
      <c r="G2" s="2" t="s">
        <v>219</v>
      </c>
      <c r="H2" s="2" t="s">
        <v>336</v>
      </c>
      <c r="I2" s="4">
        <v>46107.637499999997</v>
      </c>
      <c r="J2" s="4">
        <v>46108.837500000001</v>
      </c>
      <c r="K2" s="2" t="s">
        <v>337</v>
      </c>
      <c r="L2" s="2" t="s">
        <v>256</v>
      </c>
      <c r="M2" s="5">
        <v>2.9</v>
      </c>
      <c r="N2" s="2" t="s">
        <v>338</v>
      </c>
    </row>
    <row r="3" spans="1:14" ht="22.05" customHeight="1" x14ac:dyDescent="0.3">
      <c r="A3" s="2" t="s">
        <v>339</v>
      </c>
      <c r="B3" s="2" t="s">
        <v>299</v>
      </c>
      <c r="C3" s="2" t="s">
        <v>257</v>
      </c>
      <c r="D3" s="2" t="s">
        <v>215</v>
      </c>
      <c r="E3" s="2" t="s">
        <v>216</v>
      </c>
      <c r="F3" s="2" t="s">
        <v>217</v>
      </c>
      <c r="G3" s="2" t="s">
        <v>219</v>
      </c>
      <c r="H3" s="2" t="s">
        <v>336</v>
      </c>
      <c r="I3" s="4">
        <v>46088.76666666667</v>
      </c>
      <c r="J3" s="4">
        <v>46089.26666666667</v>
      </c>
      <c r="K3" s="2" t="s">
        <v>337</v>
      </c>
      <c r="L3" s="2" t="s">
        <v>256</v>
      </c>
      <c r="M3" s="5">
        <v>1.9</v>
      </c>
      <c r="N3" s="2" t="s">
        <v>338</v>
      </c>
    </row>
    <row r="4" spans="1:14" ht="22.05" customHeight="1" x14ac:dyDescent="0.3">
      <c r="A4" s="2" t="s">
        <v>340</v>
      </c>
      <c r="B4" s="2" t="s">
        <v>300</v>
      </c>
      <c r="C4" s="2" t="s">
        <v>258</v>
      </c>
      <c r="D4" s="2" t="s">
        <v>215</v>
      </c>
      <c r="E4" s="2" t="s">
        <v>216</v>
      </c>
      <c r="F4" s="2" t="s">
        <v>217</v>
      </c>
      <c r="G4" s="2" t="s">
        <v>219</v>
      </c>
      <c r="H4" s="2" t="s">
        <v>336</v>
      </c>
      <c r="I4" s="4">
        <v>46127.48333333333</v>
      </c>
      <c r="J4" s="4">
        <v>46129.383333333331</v>
      </c>
      <c r="K4" s="2" t="s">
        <v>337</v>
      </c>
      <c r="L4" s="2" t="s">
        <v>260</v>
      </c>
      <c r="M4" s="5">
        <v>3.8</v>
      </c>
      <c r="N4" s="2" t="s">
        <v>341</v>
      </c>
    </row>
    <row r="5" spans="1:14" ht="22.05" customHeight="1" x14ac:dyDescent="0.3">
      <c r="A5" s="2" t="s">
        <v>342</v>
      </c>
      <c r="B5" s="2" t="s">
        <v>301</v>
      </c>
      <c r="C5" s="2" t="s">
        <v>261</v>
      </c>
      <c r="D5" s="2" t="s">
        <v>215</v>
      </c>
      <c r="E5" s="2" t="s">
        <v>216</v>
      </c>
      <c r="F5" s="2" t="s">
        <v>217</v>
      </c>
      <c r="G5" s="2" t="s">
        <v>219</v>
      </c>
      <c r="H5" s="2" t="s">
        <v>336</v>
      </c>
      <c r="I5" s="4">
        <v>46131.8</v>
      </c>
      <c r="J5" s="4">
        <v>46133.5</v>
      </c>
      <c r="K5" s="2" t="s">
        <v>337</v>
      </c>
      <c r="L5" s="2" t="s">
        <v>260</v>
      </c>
      <c r="M5" s="5">
        <v>2.9</v>
      </c>
      <c r="N5" s="2" t="s">
        <v>341</v>
      </c>
    </row>
    <row r="6" spans="1:14" ht="22.05" customHeight="1" x14ac:dyDescent="0.3">
      <c r="A6" s="2" t="s">
        <v>343</v>
      </c>
      <c r="B6" s="2" t="s">
        <v>302</v>
      </c>
      <c r="C6" s="2" t="s">
        <v>262</v>
      </c>
      <c r="D6" s="2" t="s">
        <v>222</v>
      </c>
      <c r="E6" s="2" t="s">
        <v>223</v>
      </c>
      <c r="F6" s="2" t="s">
        <v>217</v>
      </c>
      <c r="G6" s="2" t="s">
        <v>219</v>
      </c>
      <c r="H6" s="2" t="s">
        <v>336</v>
      </c>
      <c r="I6" s="4">
        <v>46094.9375</v>
      </c>
      <c r="J6" s="4">
        <v>46095.9375</v>
      </c>
      <c r="K6" s="2" t="s">
        <v>337</v>
      </c>
      <c r="L6" s="2" t="s">
        <v>256</v>
      </c>
      <c r="M6" s="5">
        <v>3.5</v>
      </c>
      <c r="N6" s="2" t="s">
        <v>341</v>
      </c>
    </row>
    <row r="7" spans="1:14" ht="22.05" customHeight="1" x14ac:dyDescent="0.3">
      <c r="A7" s="2" t="s">
        <v>344</v>
      </c>
      <c r="B7" s="2" t="s">
        <v>303</v>
      </c>
      <c r="C7" s="2" t="s">
        <v>263</v>
      </c>
      <c r="D7" s="2" t="s">
        <v>222</v>
      </c>
      <c r="E7" s="2" t="s">
        <v>223</v>
      </c>
      <c r="F7" s="2" t="s">
        <v>217</v>
      </c>
      <c r="G7" s="2" t="s">
        <v>219</v>
      </c>
      <c r="H7" s="2" t="s">
        <v>336</v>
      </c>
      <c r="I7" s="4">
        <v>46104.004166666673</v>
      </c>
      <c r="J7" s="4">
        <v>46107.004166666673</v>
      </c>
      <c r="K7" s="2" t="s">
        <v>337</v>
      </c>
      <c r="L7" s="2" t="s">
        <v>256</v>
      </c>
      <c r="M7" s="5">
        <v>5.0999999999999996</v>
      </c>
      <c r="N7" s="2" t="s">
        <v>341</v>
      </c>
    </row>
    <row r="8" spans="1:14" ht="22.05" customHeight="1" x14ac:dyDescent="0.3">
      <c r="A8" s="2" t="s">
        <v>345</v>
      </c>
      <c r="B8" s="2" t="s">
        <v>304</v>
      </c>
      <c r="C8" s="2" t="s">
        <v>265</v>
      </c>
      <c r="D8" s="2" t="s">
        <v>222</v>
      </c>
      <c r="E8" s="2" t="s">
        <v>223</v>
      </c>
      <c r="F8" s="2" t="s">
        <v>217</v>
      </c>
      <c r="G8" s="2" t="s">
        <v>219</v>
      </c>
      <c r="H8" s="2" t="s">
        <v>336</v>
      </c>
      <c r="I8" s="4">
        <v>46127.112500000003</v>
      </c>
      <c r="J8" s="4">
        <v>46129.3125</v>
      </c>
      <c r="K8" s="2" t="s">
        <v>337</v>
      </c>
      <c r="L8" s="2" t="s">
        <v>260</v>
      </c>
      <c r="M8" s="5">
        <v>4.2</v>
      </c>
      <c r="N8" s="2" t="s">
        <v>338</v>
      </c>
    </row>
    <row r="9" spans="1:14" ht="22.05" customHeight="1" x14ac:dyDescent="0.3">
      <c r="A9" s="2" t="s">
        <v>346</v>
      </c>
      <c r="B9" s="2" t="s">
        <v>305</v>
      </c>
      <c r="C9" s="2" t="s">
        <v>266</v>
      </c>
      <c r="D9" s="2" t="s">
        <v>222</v>
      </c>
      <c r="E9" s="2" t="s">
        <v>223</v>
      </c>
      <c r="F9" s="2" t="s">
        <v>217</v>
      </c>
      <c r="G9" s="2" t="s">
        <v>219</v>
      </c>
      <c r="H9" s="2" t="s">
        <v>336</v>
      </c>
      <c r="I9" s="4">
        <v>46134.895833333343</v>
      </c>
      <c r="J9" s="4">
        <v>46136.395833333343</v>
      </c>
      <c r="K9" s="2" t="s">
        <v>337</v>
      </c>
      <c r="L9" s="2" t="s">
        <v>260</v>
      </c>
      <c r="M9" s="5">
        <v>3.3</v>
      </c>
      <c r="N9" s="2" t="s">
        <v>338</v>
      </c>
    </row>
    <row r="10" spans="1:14" ht="22.05" customHeight="1" x14ac:dyDescent="0.3">
      <c r="A10" s="2" t="s">
        <v>347</v>
      </c>
      <c r="B10" s="2" t="s">
        <v>306</v>
      </c>
      <c r="C10" s="2" t="s">
        <v>267</v>
      </c>
      <c r="D10" s="2" t="s">
        <v>225</v>
      </c>
      <c r="E10" s="2" t="s">
        <v>226</v>
      </c>
      <c r="F10" s="2" t="s">
        <v>217</v>
      </c>
      <c r="G10" s="2" t="s">
        <v>219</v>
      </c>
      <c r="H10" s="2" t="s">
        <v>336</v>
      </c>
      <c r="I10" s="4">
        <v>46101.020833333343</v>
      </c>
      <c r="J10" s="4">
        <v>46101.820833333331</v>
      </c>
      <c r="K10" s="2" t="s">
        <v>337</v>
      </c>
      <c r="L10" s="2" t="s">
        <v>256</v>
      </c>
      <c r="M10" s="5">
        <v>2.4</v>
      </c>
      <c r="N10" s="2" t="s">
        <v>338</v>
      </c>
    </row>
    <row r="11" spans="1:14" ht="22.05" customHeight="1" x14ac:dyDescent="0.3">
      <c r="A11" s="2" t="s">
        <v>348</v>
      </c>
      <c r="B11" s="2" t="s">
        <v>307</v>
      </c>
      <c r="C11" s="2" t="s">
        <v>268</v>
      </c>
      <c r="D11" s="2" t="s">
        <v>225</v>
      </c>
      <c r="E11" s="2" t="s">
        <v>226</v>
      </c>
      <c r="F11" s="2" t="s">
        <v>217</v>
      </c>
      <c r="G11" s="2" t="s">
        <v>219</v>
      </c>
      <c r="H11" s="2" t="s">
        <v>336</v>
      </c>
      <c r="I11" s="4">
        <v>46104.445833333331</v>
      </c>
      <c r="J11" s="4">
        <v>46104.945833333331</v>
      </c>
      <c r="K11" s="2" t="s">
        <v>337</v>
      </c>
      <c r="L11" s="2" t="s">
        <v>256</v>
      </c>
      <c r="M11" s="5">
        <v>2.2999999999999998</v>
      </c>
      <c r="N11" s="2" t="s">
        <v>341</v>
      </c>
    </row>
    <row r="12" spans="1:14" ht="22.05" customHeight="1" x14ac:dyDescent="0.3">
      <c r="A12" s="2" t="s">
        <v>349</v>
      </c>
      <c r="B12" s="2" t="s">
        <v>308</v>
      </c>
      <c r="C12" s="2" t="s">
        <v>269</v>
      </c>
      <c r="D12" s="2" t="s">
        <v>225</v>
      </c>
      <c r="E12" s="2" t="s">
        <v>226</v>
      </c>
      <c r="F12" s="2" t="s">
        <v>217</v>
      </c>
      <c r="G12" s="2" t="s">
        <v>219</v>
      </c>
      <c r="H12" s="2" t="s">
        <v>336</v>
      </c>
      <c r="I12" s="4">
        <v>46120.875</v>
      </c>
      <c r="J12" s="4">
        <v>46121.574999999997</v>
      </c>
      <c r="K12" s="2" t="s">
        <v>337</v>
      </c>
      <c r="L12" s="2" t="s">
        <v>260</v>
      </c>
      <c r="M12" s="5">
        <v>1.8</v>
      </c>
      <c r="N12" s="2" t="s">
        <v>341</v>
      </c>
    </row>
    <row r="13" spans="1:14" ht="22.05" customHeight="1" x14ac:dyDescent="0.3">
      <c r="A13" s="2" t="s">
        <v>350</v>
      </c>
      <c r="B13" s="2" t="s">
        <v>309</v>
      </c>
      <c r="C13" s="2" t="s">
        <v>270</v>
      </c>
      <c r="D13" s="2" t="s">
        <v>225</v>
      </c>
      <c r="E13" s="2" t="s">
        <v>226</v>
      </c>
      <c r="F13" s="2" t="s">
        <v>217</v>
      </c>
      <c r="G13" s="2" t="s">
        <v>219</v>
      </c>
      <c r="H13" s="2" t="s">
        <v>336</v>
      </c>
      <c r="I13" s="4">
        <v>46129.775000000001</v>
      </c>
      <c r="J13" s="4">
        <v>46131.175000000003</v>
      </c>
      <c r="K13" s="2" t="s">
        <v>337</v>
      </c>
      <c r="L13" s="2" t="s">
        <v>260</v>
      </c>
      <c r="M13" s="5">
        <v>2.9</v>
      </c>
      <c r="N13" s="2" t="s">
        <v>338</v>
      </c>
    </row>
    <row r="14" spans="1:14" ht="22.05" customHeight="1" x14ac:dyDescent="0.3">
      <c r="A14" s="2" t="s">
        <v>351</v>
      </c>
      <c r="B14" s="2" t="s">
        <v>310</v>
      </c>
      <c r="C14" s="2" t="s">
        <v>271</v>
      </c>
      <c r="D14" s="2" t="s">
        <v>228</v>
      </c>
      <c r="E14" s="2" t="s">
        <v>229</v>
      </c>
      <c r="F14" s="2" t="s">
        <v>230</v>
      </c>
      <c r="G14" s="2" t="s">
        <v>232</v>
      </c>
      <c r="H14" s="2" t="s">
        <v>336</v>
      </c>
      <c r="I14" s="4">
        <v>46089.620833333327</v>
      </c>
      <c r="J14" s="4">
        <v>46092.220833333333</v>
      </c>
      <c r="K14" s="2" t="s">
        <v>337</v>
      </c>
      <c r="L14" s="2" t="s">
        <v>256</v>
      </c>
      <c r="M14" s="5">
        <v>4.7</v>
      </c>
      <c r="N14" s="2" t="s">
        <v>338</v>
      </c>
    </row>
    <row r="15" spans="1:14" ht="22.05" customHeight="1" x14ac:dyDescent="0.3">
      <c r="A15" s="2" t="s">
        <v>352</v>
      </c>
      <c r="B15" s="2" t="s">
        <v>311</v>
      </c>
      <c r="C15" s="2" t="s">
        <v>272</v>
      </c>
      <c r="D15" s="2" t="s">
        <v>228</v>
      </c>
      <c r="E15" s="2" t="s">
        <v>229</v>
      </c>
      <c r="F15" s="2" t="s">
        <v>230</v>
      </c>
      <c r="G15" s="2" t="s">
        <v>232</v>
      </c>
      <c r="H15" s="2" t="s">
        <v>336</v>
      </c>
      <c r="I15" s="4">
        <v>46091.916666666657</v>
      </c>
      <c r="J15" s="4">
        <v>46093.216666666667</v>
      </c>
      <c r="K15" s="2" t="s">
        <v>337</v>
      </c>
      <c r="L15" s="2" t="s">
        <v>256</v>
      </c>
      <c r="M15" s="5">
        <v>3</v>
      </c>
      <c r="N15" s="2" t="s">
        <v>338</v>
      </c>
    </row>
    <row r="16" spans="1:14" ht="22.05" customHeight="1" x14ac:dyDescent="0.3">
      <c r="A16" s="2" t="s">
        <v>353</v>
      </c>
      <c r="B16" s="2" t="s">
        <v>312</v>
      </c>
      <c r="C16" s="2" t="s">
        <v>273</v>
      </c>
      <c r="D16" s="2" t="s">
        <v>228</v>
      </c>
      <c r="E16" s="2" t="s">
        <v>229</v>
      </c>
      <c r="F16" s="2" t="s">
        <v>230</v>
      </c>
      <c r="G16" s="2" t="s">
        <v>232</v>
      </c>
      <c r="H16" s="2" t="s">
        <v>336</v>
      </c>
      <c r="I16" s="4">
        <v>46124.166666666657</v>
      </c>
      <c r="J16" s="4">
        <v>46125.366666666669</v>
      </c>
      <c r="K16" s="2" t="s">
        <v>337</v>
      </c>
      <c r="L16" s="2" t="s">
        <v>260</v>
      </c>
      <c r="M16" s="5">
        <v>3.1</v>
      </c>
      <c r="N16" s="2" t="s">
        <v>338</v>
      </c>
    </row>
    <row r="17" spans="1:14" ht="22.05" customHeight="1" x14ac:dyDescent="0.3">
      <c r="A17" s="2" t="s">
        <v>354</v>
      </c>
      <c r="B17" s="2" t="s">
        <v>313</v>
      </c>
      <c r="C17" s="2" t="s">
        <v>274</v>
      </c>
      <c r="D17" s="2" t="s">
        <v>228</v>
      </c>
      <c r="E17" s="2" t="s">
        <v>229</v>
      </c>
      <c r="F17" s="2" t="s">
        <v>230</v>
      </c>
      <c r="G17" s="2" t="s">
        <v>232</v>
      </c>
      <c r="H17" s="2" t="s">
        <v>336</v>
      </c>
      <c r="I17" s="4">
        <v>46121.179166666669</v>
      </c>
      <c r="J17" s="4">
        <v>46123.679166666669</v>
      </c>
      <c r="K17" s="2" t="s">
        <v>337</v>
      </c>
      <c r="L17" s="2" t="s">
        <v>260</v>
      </c>
      <c r="M17" s="5">
        <v>4</v>
      </c>
      <c r="N17" s="2" t="s">
        <v>338</v>
      </c>
    </row>
    <row r="18" spans="1:14" ht="22.05" customHeight="1" x14ac:dyDescent="0.3">
      <c r="A18" s="2" t="s">
        <v>355</v>
      </c>
      <c r="B18" s="2" t="s">
        <v>314</v>
      </c>
      <c r="C18" s="2" t="s">
        <v>275</v>
      </c>
      <c r="D18" s="2" t="s">
        <v>234</v>
      </c>
      <c r="E18" s="2" t="s">
        <v>235</v>
      </c>
      <c r="F18" s="2" t="s">
        <v>230</v>
      </c>
      <c r="G18" s="2" t="s">
        <v>232</v>
      </c>
      <c r="H18" s="2" t="s">
        <v>336</v>
      </c>
      <c r="I18" s="4">
        <v>46087.433333333327</v>
      </c>
      <c r="J18" s="4">
        <v>46088.033333333333</v>
      </c>
      <c r="K18" s="2" t="s">
        <v>337</v>
      </c>
      <c r="L18" s="2" t="s">
        <v>256</v>
      </c>
      <c r="M18" s="5">
        <v>1.9</v>
      </c>
      <c r="N18" s="2" t="s">
        <v>338</v>
      </c>
    </row>
    <row r="19" spans="1:14" ht="22.05" customHeight="1" x14ac:dyDescent="0.3">
      <c r="A19" s="2" t="s">
        <v>356</v>
      </c>
      <c r="B19" s="2" t="s">
        <v>315</v>
      </c>
      <c r="C19" s="2" t="s">
        <v>276</v>
      </c>
      <c r="D19" s="2" t="s">
        <v>234</v>
      </c>
      <c r="E19" s="2" t="s">
        <v>235</v>
      </c>
      <c r="F19" s="2" t="s">
        <v>230</v>
      </c>
      <c r="G19" s="2" t="s">
        <v>232</v>
      </c>
      <c r="H19" s="2" t="s">
        <v>336</v>
      </c>
      <c r="I19" s="4">
        <v>46107.366666666669</v>
      </c>
      <c r="J19" s="4">
        <v>46108.466666666667</v>
      </c>
      <c r="K19" s="2" t="s">
        <v>337</v>
      </c>
      <c r="L19" s="2" t="s">
        <v>256</v>
      </c>
      <c r="M19" s="5">
        <v>2.2999999999999998</v>
      </c>
      <c r="N19" s="2" t="s">
        <v>338</v>
      </c>
    </row>
    <row r="20" spans="1:14" ht="22.05" customHeight="1" x14ac:dyDescent="0.3">
      <c r="A20" s="2" t="s">
        <v>357</v>
      </c>
      <c r="B20" s="2" t="s">
        <v>316</v>
      </c>
      <c r="C20" s="2" t="s">
        <v>277</v>
      </c>
      <c r="D20" s="2" t="s">
        <v>234</v>
      </c>
      <c r="E20" s="2" t="s">
        <v>235</v>
      </c>
      <c r="F20" s="2" t="s">
        <v>230</v>
      </c>
      <c r="G20" s="2" t="s">
        <v>232</v>
      </c>
      <c r="H20" s="2" t="s">
        <v>336</v>
      </c>
      <c r="I20" s="4">
        <v>46137.791666666657</v>
      </c>
      <c r="J20" s="4">
        <v>46139.691666666673</v>
      </c>
      <c r="K20" s="2" t="s">
        <v>337</v>
      </c>
      <c r="L20" s="2" t="s">
        <v>260</v>
      </c>
      <c r="M20" s="5">
        <v>3.4</v>
      </c>
      <c r="N20" s="2" t="s">
        <v>338</v>
      </c>
    </row>
    <row r="21" spans="1:14" ht="22.05" customHeight="1" x14ac:dyDescent="0.3">
      <c r="A21" s="2" t="s">
        <v>358</v>
      </c>
      <c r="B21" s="2" t="s">
        <v>317</v>
      </c>
      <c r="C21" s="2" t="s">
        <v>278</v>
      </c>
      <c r="D21" s="2" t="s">
        <v>234</v>
      </c>
      <c r="E21" s="2" t="s">
        <v>235</v>
      </c>
      <c r="F21" s="2" t="s">
        <v>230</v>
      </c>
      <c r="G21" s="2" t="s">
        <v>232</v>
      </c>
      <c r="H21" s="2" t="s">
        <v>336</v>
      </c>
      <c r="I21" s="4">
        <v>46126.841666666667</v>
      </c>
      <c r="J21" s="4">
        <v>46127.841666666667</v>
      </c>
      <c r="K21" s="2" t="s">
        <v>337</v>
      </c>
      <c r="L21" s="2" t="s">
        <v>260</v>
      </c>
      <c r="M21" s="5">
        <v>2.4</v>
      </c>
      <c r="N21" s="2" t="s">
        <v>338</v>
      </c>
    </row>
    <row r="22" spans="1:14" ht="22.05" customHeight="1" x14ac:dyDescent="0.3">
      <c r="A22" s="2" t="s">
        <v>359</v>
      </c>
      <c r="B22" s="2" t="s">
        <v>318</v>
      </c>
      <c r="C22" s="2" t="s">
        <v>279</v>
      </c>
      <c r="D22" s="2" t="s">
        <v>236</v>
      </c>
      <c r="E22" s="2" t="s">
        <v>237</v>
      </c>
      <c r="F22" s="2" t="s">
        <v>230</v>
      </c>
      <c r="G22" s="2" t="s">
        <v>232</v>
      </c>
      <c r="H22" s="2" t="s">
        <v>336</v>
      </c>
      <c r="I22" s="4">
        <v>46091.745833333327</v>
      </c>
      <c r="J22" s="4">
        <v>46092.445833333331</v>
      </c>
      <c r="K22" s="2" t="s">
        <v>337</v>
      </c>
      <c r="L22" s="2" t="s">
        <v>256</v>
      </c>
      <c r="M22" s="5">
        <v>2.4</v>
      </c>
      <c r="N22" s="2" t="s">
        <v>338</v>
      </c>
    </row>
    <row r="23" spans="1:14" ht="22.05" customHeight="1" x14ac:dyDescent="0.3">
      <c r="A23" s="2" t="s">
        <v>360</v>
      </c>
      <c r="B23" s="2" t="s">
        <v>319</v>
      </c>
      <c r="C23" s="2" t="s">
        <v>280</v>
      </c>
      <c r="D23" s="2" t="s">
        <v>236</v>
      </c>
      <c r="E23" s="2" t="s">
        <v>237</v>
      </c>
      <c r="F23" s="2" t="s">
        <v>230</v>
      </c>
      <c r="G23" s="2" t="s">
        <v>232</v>
      </c>
      <c r="H23" s="2" t="s">
        <v>336</v>
      </c>
      <c r="I23" s="4">
        <v>46095.324999999997</v>
      </c>
      <c r="J23" s="4">
        <v>46096.925000000003</v>
      </c>
      <c r="K23" s="2" t="s">
        <v>337</v>
      </c>
      <c r="L23" s="2" t="s">
        <v>256</v>
      </c>
      <c r="M23" s="5">
        <v>3.9</v>
      </c>
      <c r="N23" s="2" t="s">
        <v>338</v>
      </c>
    </row>
    <row r="24" spans="1:14" ht="22.05" customHeight="1" x14ac:dyDescent="0.3">
      <c r="A24" s="2" t="s">
        <v>361</v>
      </c>
      <c r="B24" s="2" t="s">
        <v>320</v>
      </c>
      <c r="C24" s="2" t="s">
        <v>281</v>
      </c>
      <c r="D24" s="2" t="s">
        <v>236</v>
      </c>
      <c r="E24" s="2" t="s">
        <v>237</v>
      </c>
      <c r="F24" s="2" t="s">
        <v>230</v>
      </c>
      <c r="G24" s="2" t="s">
        <v>232</v>
      </c>
      <c r="H24" s="2" t="s">
        <v>336</v>
      </c>
      <c r="I24" s="4">
        <v>46124.629166666673</v>
      </c>
      <c r="J24" s="4">
        <v>46126.529166666667</v>
      </c>
      <c r="K24" s="2" t="s">
        <v>337</v>
      </c>
      <c r="L24" s="2" t="s">
        <v>260</v>
      </c>
      <c r="M24" s="5">
        <v>3.9</v>
      </c>
      <c r="N24" s="2" t="s">
        <v>341</v>
      </c>
    </row>
    <row r="25" spans="1:14" ht="22.05" customHeight="1" x14ac:dyDescent="0.3">
      <c r="A25" s="2" t="s">
        <v>362</v>
      </c>
      <c r="B25" s="2" t="s">
        <v>321</v>
      </c>
      <c r="C25" s="2" t="s">
        <v>282</v>
      </c>
      <c r="D25" s="2" t="s">
        <v>236</v>
      </c>
      <c r="E25" s="2" t="s">
        <v>237</v>
      </c>
      <c r="F25" s="2" t="s">
        <v>230</v>
      </c>
      <c r="G25" s="2" t="s">
        <v>232</v>
      </c>
      <c r="H25" s="2" t="s">
        <v>336</v>
      </c>
      <c r="I25" s="4">
        <v>46127.537499999999</v>
      </c>
      <c r="J25" s="4">
        <v>46128.537499999999</v>
      </c>
      <c r="K25" s="2" t="s">
        <v>337</v>
      </c>
      <c r="L25" s="2" t="s">
        <v>260</v>
      </c>
      <c r="M25" s="5">
        <v>2.9</v>
      </c>
      <c r="N25" s="2" t="s">
        <v>341</v>
      </c>
    </row>
    <row r="26" spans="1:14" ht="22.05" customHeight="1" x14ac:dyDescent="0.3">
      <c r="A26" s="2" t="s">
        <v>363</v>
      </c>
      <c r="B26" s="2" t="s">
        <v>322</v>
      </c>
      <c r="C26" s="2" t="s">
        <v>283</v>
      </c>
      <c r="D26" s="2" t="s">
        <v>238</v>
      </c>
      <c r="E26" s="2" t="s">
        <v>239</v>
      </c>
      <c r="F26" s="2" t="s">
        <v>240</v>
      </c>
      <c r="G26" s="2" t="s">
        <v>242</v>
      </c>
      <c r="H26" s="2" t="s">
        <v>336</v>
      </c>
      <c r="I26" s="4">
        <v>46104.20416666667</v>
      </c>
      <c r="J26" s="4">
        <v>46106.504166666673</v>
      </c>
      <c r="K26" s="2" t="s">
        <v>337</v>
      </c>
      <c r="L26" s="2" t="s">
        <v>256</v>
      </c>
      <c r="M26" s="5">
        <v>4.4000000000000004</v>
      </c>
      <c r="N26" s="2" t="s">
        <v>341</v>
      </c>
    </row>
    <row r="27" spans="1:14" ht="22.05" customHeight="1" x14ac:dyDescent="0.3">
      <c r="A27" s="2" t="s">
        <v>364</v>
      </c>
      <c r="B27" s="2" t="s">
        <v>323</v>
      </c>
      <c r="C27" s="2" t="s">
        <v>284</v>
      </c>
      <c r="D27" s="2" t="s">
        <v>238</v>
      </c>
      <c r="E27" s="2" t="s">
        <v>239</v>
      </c>
      <c r="F27" s="2" t="s">
        <v>240</v>
      </c>
      <c r="G27" s="2" t="s">
        <v>242</v>
      </c>
      <c r="H27" s="2" t="s">
        <v>336</v>
      </c>
      <c r="I27" s="4">
        <v>46092.695833333331</v>
      </c>
      <c r="J27" s="4">
        <v>46095.995833333327</v>
      </c>
      <c r="K27" s="2" t="s">
        <v>337</v>
      </c>
      <c r="L27" s="2" t="s">
        <v>256</v>
      </c>
      <c r="M27" s="5">
        <v>5.5</v>
      </c>
      <c r="N27" s="2" t="s">
        <v>338</v>
      </c>
    </row>
    <row r="28" spans="1:14" ht="22.05" customHeight="1" x14ac:dyDescent="0.3">
      <c r="A28" s="2" t="s">
        <v>365</v>
      </c>
      <c r="B28" s="2" t="s">
        <v>324</v>
      </c>
      <c r="C28" s="2" t="s">
        <v>285</v>
      </c>
      <c r="D28" s="2" t="s">
        <v>238</v>
      </c>
      <c r="E28" s="2" t="s">
        <v>239</v>
      </c>
      <c r="F28" s="2" t="s">
        <v>240</v>
      </c>
      <c r="G28" s="2" t="s">
        <v>242</v>
      </c>
      <c r="H28" s="2" t="s">
        <v>336</v>
      </c>
      <c r="I28" s="4">
        <v>46138.6875</v>
      </c>
      <c r="J28" s="4">
        <v>46140.987500000003</v>
      </c>
      <c r="K28" s="2" t="s">
        <v>337</v>
      </c>
      <c r="L28" s="2" t="s">
        <v>260</v>
      </c>
      <c r="M28" s="5">
        <v>4.4000000000000004</v>
      </c>
      <c r="N28" s="2" t="s">
        <v>338</v>
      </c>
    </row>
    <row r="29" spans="1:14" ht="22.05" customHeight="1" x14ac:dyDescent="0.3">
      <c r="A29" s="2" t="s">
        <v>366</v>
      </c>
      <c r="B29" s="2" t="s">
        <v>325</v>
      </c>
      <c r="C29" s="2" t="s">
        <v>286</v>
      </c>
      <c r="D29" s="2" t="s">
        <v>238</v>
      </c>
      <c r="E29" s="2" t="s">
        <v>239</v>
      </c>
      <c r="F29" s="2" t="s">
        <v>240</v>
      </c>
      <c r="G29" s="2" t="s">
        <v>242</v>
      </c>
      <c r="H29" s="2" t="s">
        <v>336</v>
      </c>
      <c r="I29" s="4">
        <v>46137.4375</v>
      </c>
      <c r="J29" s="4">
        <v>46141.037499999999</v>
      </c>
      <c r="K29" s="2" t="s">
        <v>337</v>
      </c>
      <c r="L29" s="2" t="s">
        <v>260</v>
      </c>
      <c r="M29" s="5">
        <v>5</v>
      </c>
      <c r="N29" s="2" t="s">
        <v>338</v>
      </c>
    </row>
    <row r="30" spans="1:14" ht="22.05" customHeight="1" x14ac:dyDescent="0.3">
      <c r="A30" s="2" t="s">
        <v>367</v>
      </c>
      <c r="B30" s="2" t="s">
        <v>326</v>
      </c>
      <c r="C30" s="2" t="s">
        <v>287</v>
      </c>
      <c r="D30" s="2" t="s">
        <v>244</v>
      </c>
      <c r="E30" s="2" t="s">
        <v>245</v>
      </c>
      <c r="F30" s="2" t="s">
        <v>240</v>
      </c>
      <c r="G30" s="2" t="s">
        <v>242</v>
      </c>
      <c r="H30" s="2" t="s">
        <v>336</v>
      </c>
      <c r="I30" s="4">
        <v>46088.370833333327</v>
      </c>
      <c r="J30" s="4">
        <v>46090.470833333333</v>
      </c>
      <c r="K30" s="2" t="s">
        <v>337</v>
      </c>
      <c r="L30" s="2" t="s">
        <v>256</v>
      </c>
      <c r="M30" s="5">
        <v>4.0999999999999996</v>
      </c>
      <c r="N30" s="2" t="s">
        <v>341</v>
      </c>
    </row>
    <row r="31" spans="1:14" ht="22.05" customHeight="1" x14ac:dyDescent="0.3">
      <c r="A31" s="2" t="s">
        <v>368</v>
      </c>
      <c r="B31" s="2" t="s">
        <v>327</v>
      </c>
      <c r="C31" s="2" t="s">
        <v>288</v>
      </c>
      <c r="D31" s="2" t="s">
        <v>244</v>
      </c>
      <c r="E31" s="2" t="s">
        <v>245</v>
      </c>
      <c r="F31" s="2" t="s">
        <v>240</v>
      </c>
      <c r="G31" s="2" t="s">
        <v>242</v>
      </c>
      <c r="H31" s="2" t="s">
        <v>336</v>
      </c>
      <c r="I31" s="4">
        <v>46092.23333333333</v>
      </c>
      <c r="J31" s="4">
        <v>46094.73333333333</v>
      </c>
      <c r="K31" s="2" t="s">
        <v>337</v>
      </c>
      <c r="L31" s="2" t="s">
        <v>256</v>
      </c>
      <c r="M31" s="5">
        <v>4.5</v>
      </c>
      <c r="N31" s="2" t="s">
        <v>341</v>
      </c>
    </row>
    <row r="32" spans="1:14" ht="22.05" customHeight="1" x14ac:dyDescent="0.3">
      <c r="A32" s="2" t="s">
        <v>369</v>
      </c>
      <c r="B32" s="2" t="s">
        <v>328</v>
      </c>
      <c r="C32" s="2" t="s">
        <v>289</v>
      </c>
      <c r="D32" s="2" t="s">
        <v>244</v>
      </c>
      <c r="E32" s="2" t="s">
        <v>245</v>
      </c>
      <c r="F32" s="2" t="s">
        <v>240</v>
      </c>
      <c r="G32" s="2" t="s">
        <v>242</v>
      </c>
      <c r="H32" s="2" t="s">
        <v>336</v>
      </c>
      <c r="I32" s="4">
        <v>46132.095833333333</v>
      </c>
      <c r="J32" s="4">
        <v>46133.595833333333</v>
      </c>
      <c r="K32" s="2" t="s">
        <v>337</v>
      </c>
      <c r="L32" s="2" t="s">
        <v>260</v>
      </c>
      <c r="M32" s="5">
        <v>3.4</v>
      </c>
      <c r="N32" s="2" t="s">
        <v>338</v>
      </c>
    </row>
    <row r="33" spans="1:14" ht="22.05" customHeight="1" x14ac:dyDescent="0.3">
      <c r="A33" s="2" t="s">
        <v>370</v>
      </c>
      <c r="B33" s="2" t="s">
        <v>329</v>
      </c>
      <c r="C33" s="2" t="s">
        <v>290</v>
      </c>
      <c r="D33" s="2" t="s">
        <v>244</v>
      </c>
      <c r="E33" s="2" t="s">
        <v>245</v>
      </c>
      <c r="F33" s="2" t="s">
        <v>240</v>
      </c>
      <c r="G33" s="2" t="s">
        <v>242</v>
      </c>
      <c r="H33" s="2" t="s">
        <v>336</v>
      </c>
      <c r="I33" s="4">
        <v>46136.708333333343</v>
      </c>
      <c r="J33" s="4">
        <v>46138.708333333343</v>
      </c>
      <c r="K33" s="2" t="s">
        <v>337</v>
      </c>
      <c r="L33" s="2" t="s">
        <v>260</v>
      </c>
      <c r="M33" s="5">
        <v>3.9</v>
      </c>
      <c r="N33" s="2" t="s">
        <v>338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"/>
  <sheetViews>
    <sheetView showGridLines="0" workbookViewId="0"/>
  </sheetViews>
  <sheetFormatPr defaultRowHeight="14.4" x14ac:dyDescent="0.3"/>
  <cols>
    <col min="1" max="1" width="10" customWidth="1"/>
    <col min="2" max="2" width="14" customWidth="1"/>
    <col min="3" max="3" width="12" customWidth="1"/>
    <col min="4" max="4" width="16" customWidth="1"/>
    <col min="5" max="5" width="10" customWidth="1"/>
    <col min="6" max="7" width="18" customWidth="1"/>
    <col min="8" max="8" width="10" customWidth="1"/>
    <col min="9" max="9" width="14" customWidth="1"/>
    <col min="10" max="10" width="10" customWidth="1"/>
    <col min="11" max="11" width="12" customWidth="1"/>
    <col min="12" max="12" width="18" customWidth="1"/>
  </cols>
  <sheetData>
    <row r="1" spans="1:12" ht="28.05" customHeight="1" x14ac:dyDescent="0.3">
      <c r="A1" s="1" t="s">
        <v>371</v>
      </c>
      <c r="B1" s="1" t="s">
        <v>372</v>
      </c>
      <c r="C1" s="1" t="s">
        <v>173</v>
      </c>
      <c r="D1" s="1" t="s">
        <v>210</v>
      </c>
      <c r="E1" s="1" t="s">
        <v>211</v>
      </c>
      <c r="F1" s="1" t="s">
        <v>212</v>
      </c>
      <c r="G1" s="1" t="s">
        <v>373</v>
      </c>
      <c r="H1" s="1" t="s">
        <v>374</v>
      </c>
      <c r="I1" s="1" t="s">
        <v>204</v>
      </c>
      <c r="J1" s="1" t="s">
        <v>251</v>
      </c>
      <c r="K1" s="1" t="s">
        <v>207</v>
      </c>
      <c r="L1" s="1" t="s">
        <v>375</v>
      </c>
    </row>
    <row r="2" spans="1:12" ht="22.05" customHeight="1" x14ac:dyDescent="0.3">
      <c r="A2" s="2" t="s">
        <v>376</v>
      </c>
      <c r="B2" s="2" t="s">
        <v>265</v>
      </c>
      <c r="C2" s="2" t="s">
        <v>222</v>
      </c>
      <c r="D2" s="2" t="s">
        <v>223</v>
      </c>
      <c r="E2" s="2" t="s">
        <v>217</v>
      </c>
      <c r="F2" s="2" t="s">
        <v>219</v>
      </c>
      <c r="G2" s="4">
        <v>46133.3125</v>
      </c>
      <c r="H2" s="2" t="s">
        <v>377</v>
      </c>
      <c r="I2" s="2" t="s">
        <v>135</v>
      </c>
      <c r="J2" s="2" t="s">
        <v>378</v>
      </c>
      <c r="K2" s="2" t="s">
        <v>260</v>
      </c>
      <c r="L2" s="2" t="s">
        <v>379</v>
      </c>
    </row>
    <row r="3" spans="1:12" ht="22.05" customHeight="1" x14ac:dyDescent="0.3">
      <c r="A3" s="2" t="s">
        <v>380</v>
      </c>
      <c r="B3" s="2" t="s">
        <v>270</v>
      </c>
      <c r="C3" s="2" t="s">
        <v>225</v>
      </c>
      <c r="D3" s="2" t="s">
        <v>226</v>
      </c>
      <c r="E3" s="2" t="s">
        <v>217</v>
      </c>
      <c r="F3" s="2" t="s">
        <v>219</v>
      </c>
      <c r="G3" s="4">
        <v>46133.175000000003</v>
      </c>
      <c r="H3" s="2" t="s">
        <v>381</v>
      </c>
      <c r="I3" s="2" t="s">
        <v>135</v>
      </c>
      <c r="J3" s="2" t="s">
        <v>378</v>
      </c>
      <c r="K3" s="2" t="s">
        <v>260</v>
      </c>
      <c r="L3" s="2" t="s">
        <v>382</v>
      </c>
    </row>
    <row r="4" spans="1:12" ht="22.05" customHeight="1" x14ac:dyDescent="0.3">
      <c r="A4" s="2" t="s">
        <v>383</v>
      </c>
      <c r="B4" s="2" t="s">
        <v>282</v>
      </c>
      <c r="C4" s="2" t="s">
        <v>236</v>
      </c>
      <c r="D4" s="2" t="s">
        <v>237</v>
      </c>
      <c r="E4" s="2" t="s">
        <v>230</v>
      </c>
      <c r="F4" s="2" t="s">
        <v>232</v>
      </c>
      <c r="G4" s="4">
        <v>46130.537499999999</v>
      </c>
      <c r="H4" s="2" t="s">
        <v>384</v>
      </c>
      <c r="I4" s="2" t="s">
        <v>135</v>
      </c>
      <c r="J4" s="2" t="s">
        <v>378</v>
      </c>
      <c r="K4" s="2" t="s">
        <v>260</v>
      </c>
      <c r="L4" s="2" t="s">
        <v>385</v>
      </c>
    </row>
    <row r="5" spans="1:12" ht="22.05" customHeight="1" x14ac:dyDescent="0.3">
      <c r="A5" s="2" t="s">
        <v>386</v>
      </c>
      <c r="B5" s="2" t="s">
        <v>271</v>
      </c>
      <c r="C5" s="2" t="s">
        <v>228</v>
      </c>
      <c r="D5" s="2" t="s">
        <v>229</v>
      </c>
      <c r="E5" s="2" t="s">
        <v>230</v>
      </c>
      <c r="F5" s="2" t="s">
        <v>232</v>
      </c>
      <c r="G5" s="4">
        <v>46096.220833333333</v>
      </c>
      <c r="H5" s="2" t="s">
        <v>377</v>
      </c>
      <c r="I5" s="2" t="s">
        <v>135</v>
      </c>
      <c r="J5" s="2" t="s">
        <v>387</v>
      </c>
      <c r="K5" s="2" t="s">
        <v>256</v>
      </c>
      <c r="L5" s="2" t="s">
        <v>385</v>
      </c>
    </row>
    <row r="6" spans="1:12" ht="22.05" customHeight="1" x14ac:dyDescent="0.3">
      <c r="A6" s="2" t="s">
        <v>388</v>
      </c>
      <c r="B6" s="2" t="s">
        <v>283</v>
      </c>
      <c r="C6" s="2" t="s">
        <v>238</v>
      </c>
      <c r="D6" s="2" t="s">
        <v>239</v>
      </c>
      <c r="E6" s="2" t="s">
        <v>240</v>
      </c>
      <c r="F6" s="2" t="s">
        <v>242</v>
      </c>
      <c r="G6" s="4">
        <v>46110.504166666673</v>
      </c>
      <c r="H6" s="2" t="s">
        <v>377</v>
      </c>
      <c r="I6" s="2" t="s">
        <v>135</v>
      </c>
      <c r="J6" s="2" t="s">
        <v>387</v>
      </c>
      <c r="K6" s="2" t="s">
        <v>256</v>
      </c>
      <c r="L6" s="2" t="s">
        <v>379</v>
      </c>
    </row>
    <row r="7" spans="1:12" ht="22.05" customHeight="1" x14ac:dyDescent="0.3">
      <c r="A7" s="2" t="s">
        <v>389</v>
      </c>
      <c r="B7" s="2" t="s">
        <v>287</v>
      </c>
      <c r="C7" s="2" t="s">
        <v>244</v>
      </c>
      <c r="D7" s="2" t="s">
        <v>245</v>
      </c>
      <c r="E7" s="2" t="s">
        <v>240</v>
      </c>
      <c r="F7" s="2" t="s">
        <v>242</v>
      </c>
      <c r="G7" s="4">
        <v>46094.470833333333</v>
      </c>
      <c r="H7" s="2" t="s">
        <v>384</v>
      </c>
      <c r="I7" s="2" t="s">
        <v>135</v>
      </c>
      <c r="J7" s="2" t="s">
        <v>387</v>
      </c>
      <c r="K7" s="2" t="s">
        <v>256</v>
      </c>
      <c r="L7" s="2" t="s">
        <v>385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7"/>
  <sheetViews>
    <sheetView showGridLines="0" topLeftCell="A4" workbookViewId="0">
      <selection activeCell="E13" sqref="E13"/>
    </sheetView>
  </sheetViews>
  <sheetFormatPr defaultRowHeight="14.4" x14ac:dyDescent="0.3"/>
  <cols>
    <col min="1" max="1" width="16" customWidth="1"/>
    <col min="2" max="3" width="20" customWidth="1"/>
    <col min="4" max="4" width="12" customWidth="1"/>
    <col min="5" max="5" width="18" customWidth="1"/>
    <col min="6" max="7" width="12" customWidth="1"/>
    <col min="8" max="8" width="14" customWidth="1"/>
    <col min="9" max="9" width="12" customWidth="1"/>
    <col min="10" max="10" width="26" customWidth="1"/>
    <col min="11" max="11" width="14" customWidth="1"/>
    <col min="12" max="12" width="12" customWidth="1"/>
    <col min="13" max="13" width="20" customWidth="1"/>
    <col min="14" max="14" width="18" customWidth="1"/>
  </cols>
  <sheetData>
    <row r="1" spans="1:14" ht="28.05" customHeight="1" x14ac:dyDescent="0.3">
      <c r="A1" s="1" t="s">
        <v>173</v>
      </c>
      <c r="B1" s="1" t="s">
        <v>390</v>
      </c>
      <c r="C1" s="1" t="s">
        <v>210</v>
      </c>
      <c r="D1" s="1" t="s">
        <v>211</v>
      </c>
      <c r="E1" s="1" t="s">
        <v>212</v>
      </c>
      <c r="F1" s="1" t="s">
        <v>391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396</v>
      </c>
      <c r="L1" s="1" t="s">
        <v>397</v>
      </c>
      <c r="M1" s="1" t="s">
        <v>398</v>
      </c>
      <c r="N1" s="1" t="s">
        <v>399</v>
      </c>
    </row>
    <row r="2" spans="1:14" ht="22.05" customHeight="1" x14ac:dyDescent="0.3">
      <c r="A2" s="2" t="s">
        <v>215</v>
      </c>
      <c r="B2" s="2" t="s">
        <v>256</v>
      </c>
      <c r="C2" s="2" t="str">
        <f>INDEX(Dim_Developers!$B:$B,MATCH($A2,Dim_Developers!$A:$A,0))</f>
        <v>Ava Chen</v>
      </c>
      <c r="D2" s="2" t="str">
        <f>INDEX(Dim_Developers!$C:$C,MATCH($A2,Dim_Developers!$A:$A,0))</f>
        <v>MGR-01</v>
      </c>
      <c r="E2" s="2" t="str">
        <f>INDEX(Dim_Developers!$E:$E,MATCH($A2,Dim_Developers!$A:$A,0))</f>
        <v>Payments API</v>
      </c>
      <c r="F2" s="2">
        <f>COUNTIFS(Fact_Jira_Issues!$B:$B,$A2,Fact_Jira_Issues!$N:$N,$B2,Fact_Jira_Issues!$M:$M,"Done")</f>
        <v>2</v>
      </c>
      <c r="G2" s="2">
        <f>COUNTIFS(Fact_Pull_Requests!$C:$C,$A2,Fact_Pull_Requests!$L:$L,$B2,Fact_Pull_Requests!$K:$K,"merged")</f>
        <v>2</v>
      </c>
      <c r="H2" s="2">
        <f>COUNTIFS(Fact_CI_Deployments!$D:$D,$A2,Fact_CI_Deployments!$L:$L,$B2,Fact_CI_Deployments!$H:$H,"prod",Fact_CI_Deployments!$K:$K,"success")</f>
        <v>2</v>
      </c>
      <c r="I2" s="2">
        <f>COUNTIFS(Fact_Bug_Reports!$C:$C,$A2,Fact_Bug_Reports!$K:$K,$B2,Fact_Bug_Reports!$I:$I,"Yes")</f>
        <v>0</v>
      </c>
      <c r="J2" s="5">
        <f>IF(F2=0,0,SUMIFS(Fact_Jira_Issues!$O:$O,Fact_Jira_Issues!$B:$B,$A2,Fact_Jira_Issues!$N:$N,$B2,Fact_Jira_Issues!$M:$M,"Done")/F2)</f>
        <v>3.95</v>
      </c>
      <c r="K2" s="5">
        <f>IF(H2=0,0,SUMIFS(Fact_CI_Deployments!$M:$M,Fact_CI_Deployments!$D:$D,$A2,Fact_CI_Deployments!$L:$L,$B2,Fact_CI_Deployments!$H:$H,"prod",Fact_CI_Deployments!$K:$K,"success")/H2)</f>
        <v>2.4</v>
      </c>
      <c r="L2" s="6">
        <f t="shared" ref="L2:L17" si="0">IF(F2=0,0,I2/F2)</f>
        <v>0</v>
      </c>
      <c r="M2" s="2" t="str">
        <f t="shared" ref="M2:M17" si="1">IF(AND(K2&gt;6,L2&gt;0.15),"Slow + quality risk",IF(AND(K2&gt;6,H2&lt;2),"Slow release loop",IF(AND(L2&gt;0.12,H2&gt;=2),"Quality watch",IF(AND(K2&lt;4.5,L2&lt;0.1),"Healthy flow","Needs review"))))</f>
        <v>Healthy flow</v>
      </c>
      <c r="N2" s="2" t="str">
        <f t="shared" ref="N2:N17" si="2">A2&amp;"|"&amp;B2</f>
        <v>DEV-001|2026-03</v>
      </c>
    </row>
    <row r="3" spans="1:14" ht="22.05" customHeight="1" x14ac:dyDescent="0.3">
      <c r="A3" s="2" t="s">
        <v>215</v>
      </c>
      <c r="B3" s="2" t="s">
        <v>260</v>
      </c>
      <c r="C3" s="2" t="str">
        <f>INDEX(Dim_Developers!$B:$B,MATCH($A3,Dim_Developers!$A:$A,0))</f>
        <v>Ava Chen</v>
      </c>
      <c r="D3" s="2" t="str">
        <f>INDEX(Dim_Developers!$C:$C,MATCH($A3,Dim_Developers!$A:$A,0))</f>
        <v>MGR-01</v>
      </c>
      <c r="E3" s="2" t="str">
        <f>INDEX(Dim_Developers!$E:$E,MATCH($A3,Dim_Developers!$A:$A,0))</f>
        <v>Payments API</v>
      </c>
      <c r="F3" s="2">
        <f>COUNTIFS(Fact_Jira_Issues!$B:$B,$A3,Fact_Jira_Issues!$N:$N,$B3,Fact_Jira_Issues!$M:$M,"Done")</f>
        <v>2</v>
      </c>
      <c r="G3" s="2">
        <f>COUNTIFS(Fact_Pull_Requests!$C:$C,$A3,Fact_Pull_Requests!$L:$L,$B3,Fact_Pull_Requests!$K:$K,"merged")</f>
        <v>2</v>
      </c>
      <c r="H3" s="2">
        <f>COUNTIFS(Fact_CI_Deployments!$D:$D,$A3,Fact_CI_Deployments!$L:$L,$B3,Fact_CI_Deployments!$H:$H,"prod",Fact_CI_Deployments!$K:$K,"success")</f>
        <v>2</v>
      </c>
      <c r="I3" s="2">
        <f>COUNTIFS(Fact_Bug_Reports!$C:$C,$A3,Fact_Bug_Reports!$K:$K,$B3,Fact_Bug_Reports!$I:$I,"Yes")</f>
        <v>0</v>
      </c>
      <c r="J3" s="5">
        <f>IF(F3=0,0,SUMIFS(Fact_Jira_Issues!$O:$O,Fact_Jira_Issues!$B:$B,$A3,Fact_Jira_Issues!$N:$N,$B3,Fact_Jira_Issues!$M:$M,"Done")/F3)</f>
        <v>3.9</v>
      </c>
      <c r="K3" s="5">
        <f>IF(H3=0,0,SUMIFS(Fact_CI_Deployments!$M:$M,Fact_CI_Deployments!$D:$D,$A3,Fact_CI_Deployments!$L:$L,$B3,Fact_CI_Deployments!$H:$H,"prod",Fact_CI_Deployments!$K:$K,"success")/H3)</f>
        <v>3.3499999999999996</v>
      </c>
      <c r="L3" s="6">
        <f t="shared" si="0"/>
        <v>0</v>
      </c>
      <c r="M3" s="2" t="str">
        <f t="shared" si="1"/>
        <v>Healthy flow</v>
      </c>
      <c r="N3" s="2" t="str">
        <f t="shared" si="2"/>
        <v>DEV-001|2026-04</v>
      </c>
    </row>
    <row r="4" spans="1:14" ht="22.05" customHeight="1" x14ac:dyDescent="0.3">
      <c r="A4" s="2" t="s">
        <v>222</v>
      </c>
      <c r="B4" s="2" t="s">
        <v>256</v>
      </c>
      <c r="C4" s="2" t="str">
        <f>INDEX(Dim_Developers!$B:$B,MATCH($A4,Dim_Developers!$A:$A,0))</f>
        <v>Noah Patel</v>
      </c>
      <c r="D4" s="2" t="str">
        <f>INDEX(Dim_Developers!$C:$C,MATCH($A4,Dim_Developers!$A:$A,0))</f>
        <v>MGR-01</v>
      </c>
      <c r="E4" s="2" t="str">
        <f>INDEX(Dim_Developers!$E:$E,MATCH($A4,Dim_Developers!$A:$A,0))</f>
        <v>Payments API</v>
      </c>
      <c r="F4" s="2">
        <f>COUNTIFS(Fact_Jira_Issues!$B:$B,$A4,Fact_Jira_Issues!$N:$N,$B4,Fact_Jira_Issues!$M:$M,"Done")</f>
        <v>2</v>
      </c>
      <c r="G4" s="2">
        <f>COUNTIFS(Fact_Pull_Requests!$C:$C,$A4,Fact_Pull_Requests!$L:$L,$B4,Fact_Pull_Requests!$K:$K,"merged")</f>
        <v>2</v>
      </c>
      <c r="H4" s="2">
        <f>COUNTIFS(Fact_CI_Deployments!$D:$D,$A4,Fact_CI_Deployments!$L:$L,$B4,Fact_CI_Deployments!$H:$H,"prod",Fact_CI_Deployments!$K:$K,"success")</f>
        <v>2</v>
      </c>
      <c r="I4" s="2">
        <f>COUNTIFS(Fact_Bug_Reports!$C:$C,$A4,Fact_Bug_Reports!$K:$K,$B4,Fact_Bug_Reports!$I:$I,"Yes")</f>
        <v>0</v>
      </c>
      <c r="J4" s="5">
        <f>IF(F4=0,0,SUMIFS(Fact_Jira_Issues!$O:$O,Fact_Jira_Issues!$B:$B,$A4,Fact_Jira_Issues!$N:$N,$B4,Fact_Jira_Issues!$M:$M,"Done")/F4)</f>
        <v>5.9</v>
      </c>
      <c r="K4" s="5">
        <f>IF(H4=0,0,SUMIFS(Fact_CI_Deployments!$M:$M,Fact_CI_Deployments!$D:$D,$A4,Fact_CI_Deployments!$L:$L,$B4,Fact_CI_Deployments!$H:$H,"prod",Fact_CI_Deployments!$K:$K,"success")/H4)</f>
        <v>4.3</v>
      </c>
      <c r="L4" s="6">
        <f t="shared" si="0"/>
        <v>0</v>
      </c>
      <c r="M4" s="2" t="str">
        <f t="shared" si="1"/>
        <v>Healthy flow</v>
      </c>
      <c r="N4" s="2" t="str">
        <f t="shared" si="2"/>
        <v>DEV-002|2026-03</v>
      </c>
    </row>
    <row r="5" spans="1:14" ht="22.05" customHeight="1" x14ac:dyDescent="0.3">
      <c r="A5" s="2" t="s">
        <v>222</v>
      </c>
      <c r="B5" s="2" t="s">
        <v>260</v>
      </c>
      <c r="C5" s="2" t="str">
        <f>INDEX(Dim_Developers!$B:$B,MATCH($A5,Dim_Developers!$A:$A,0))</f>
        <v>Noah Patel</v>
      </c>
      <c r="D5" s="2" t="str">
        <f>INDEX(Dim_Developers!$C:$C,MATCH($A5,Dim_Developers!$A:$A,0))</f>
        <v>MGR-01</v>
      </c>
      <c r="E5" s="2" t="str">
        <f>INDEX(Dim_Developers!$E:$E,MATCH($A5,Dim_Developers!$A:$A,0))</f>
        <v>Payments API</v>
      </c>
      <c r="F5" s="2">
        <f>COUNTIFS(Fact_Jira_Issues!$B:$B,$A5,Fact_Jira_Issues!$N:$N,$B5,Fact_Jira_Issues!$M:$M,"Done")</f>
        <v>2</v>
      </c>
      <c r="G5" s="2">
        <f>COUNTIFS(Fact_Pull_Requests!$C:$C,$A5,Fact_Pull_Requests!$L:$L,$B5,Fact_Pull_Requests!$K:$K,"merged")</f>
        <v>2</v>
      </c>
      <c r="H5" s="2">
        <f>COUNTIFS(Fact_CI_Deployments!$D:$D,$A5,Fact_CI_Deployments!$L:$L,$B5,Fact_CI_Deployments!$H:$H,"prod",Fact_CI_Deployments!$K:$K,"success")</f>
        <v>2</v>
      </c>
      <c r="I5" s="2">
        <f>COUNTIFS(Fact_Bug_Reports!$C:$C,$A5,Fact_Bug_Reports!$K:$K,$B5,Fact_Bug_Reports!$I:$I,"Yes")</f>
        <v>1</v>
      </c>
      <c r="J5" s="5">
        <f>IF(F5=0,0,SUMIFS(Fact_Jira_Issues!$O:$O,Fact_Jira_Issues!$B:$B,$A5,Fact_Jira_Issues!$N:$N,$B5,Fact_Jira_Issues!$M:$M,"Done")/F5)</f>
        <v>5.4</v>
      </c>
      <c r="K5" s="5">
        <f>IF(H5=0,0,SUMIFS(Fact_CI_Deployments!$M:$M,Fact_CI_Deployments!$D:$D,$A5,Fact_CI_Deployments!$L:$L,$B5,Fact_CI_Deployments!$H:$H,"prod",Fact_CI_Deployments!$K:$K,"success")/H5)</f>
        <v>3.75</v>
      </c>
      <c r="L5" s="6">
        <f t="shared" si="0"/>
        <v>0.5</v>
      </c>
      <c r="M5" s="2" t="str">
        <f t="shared" si="1"/>
        <v>Quality watch</v>
      </c>
      <c r="N5" s="2" t="str">
        <f t="shared" si="2"/>
        <v>DEV-002|2026-04</v>
      </c>
    </row>
    <row r="6" spans="1:14" ht="22.05" customHeight="1" x14ac:dyDescent="0.3">
      <c r="A6" s="2" t="s">
        <v>225</v>
      </c>
      <c r="B6" s="2" t="s">
        <v>256</v>
      </c>
      <c r="C6" s="2" t="str">
        <f>INDEX(Dim_Developers!$B:$B,MATCH($A6,Dim_Developers!$A:$A,0))</f>
        <v>Ishan Mehta</v>
      </c>
      <c r="D6" s="2" t="str">
        <f>INDEX(Dim_Developers!$C:$C,MATCH($A6,Dim_Developers!$A:$A,0))</f>
        <v>MGR-01</v>
      </c>
      <c r="E6" s="2" t="str">
        <f>INDEX(Dim_Developers!$E:$E,MATCH($A6,Dim_Developers!$A:$A,0))</f>
        <v>Payments API</v>
      </c>
      <c r="F6" s="2">
        <f>COUNTIFS(Fact_Jira_Issues!$B:$B,$A6,Fact_Jira_Issues!$N:$N,$B6,Fact_Jira_Issues!$M:$M,"Done")</f>
        <v>2</v>
      </c>
      <c r="G6" s="2">
        <f>COUNTIFS(Fact_Pull_Requests!$C:$C,$A6,Fact_Pull_Requests!$L:$L,$B6,Fact_Pull_Requests!$K:$K,"merged")</f>
        <v>2</v>
      </c>
      <c r="H6" s="2">
        <f>COUNTIFS(Fact_CI_Deployments!$D:$D,$A6,Fact_CI_Deployments!$L:$L,$B6,Fact_CI_Deployments!$H:$H,"prod",Fact_CI_Deployments!$K:$K,"success")</f>
        <v>2</v>
      </c>
      <c r="I6" s="2">
        <f>COUNTIFS(Fact_Bug_Reports!$C:$C,$A6,Fact_Bug_Reports!$K:$K,$B6,Fact_Bug_Reports!$I:$I,"Yes")</f>
        <v>0</v>
      </c>
      <c r="J6" s="5">
        <f>IF(F6=0,0,SUMIFS(Fact_Jira_Issues!$O:$O,Fact_Jira_Issues!$B:$B,$A6,Fact_Jira_Issues!$N:$N,$B6,Fact_Jira_Issues!$M:$M,"Done")/F6)</f>
        <v>3.75</v>
      </c>
      <c r="K6" s="5">
        <f>IF(H6=0,0,SUMIFS(Fact_CI_Deployments!$M:$M,Fact_CI_Deployments!$D:$D,$A6,Fact_CI_Deployments!$L:$L,$B6,Fact_CI_Deployments!$H:$H,"prod",Fact_CI_Deployments!$K:$K,"success")/H6)</f>
        <v>2.3499999999999996</v>
      </c>
      <c r="L6" s="6">
        <f t="shared" si="0"/>
        <v>0</v>
      </c>
      <c r="M6" s="2" t="str">
        <f t="shared" si="1"/>
        <v>Healthy flow</v>
      </c>
      <c r="N6" s="2" t="str">
        <f t="shared" si="2"/>
        <v>DEV-006|2026-03</v>
      </c>
    </row>
    <row r="7" spans="1:14" ht="22.05" customHeight="1" x14ac:dyDescent="0.3">
      <c r="A7" s="2" t="s">
        <v>225</v>
      </c>
      <c r="B7" s="2" t="s">
        <v>260</v>
      </c>
      <c r="C7" s="2" t="str">
        <f>INDEX(Dim_Developers!$B:$B,MATCH($A7,Dim_Developers!$A:$A,0))</f>
        <v>Ishan Mehta</v>
      </c>
      <c r="D7" s="2" t="str">
        <f>INDEX(Dim_Developers!$C:$C,MATCH($A7,Dim_Developers!$A:$A,0))</f>
        <v>MGR-01</v>
      </c>
      <c r="E7" s="2" t="str">
        <f>INDEX(Dim_Developers!$E:$E,MATCH($A7,Dim_Developers!$A:$A,0))</f>
        <v>Payments API</v>
      </c>
      <c r="F7" s="2">
        <f>COUNTIFS(Fact_Jira_Issues!$B:$B,$A7,Fact_Jira_Issues!$N:$N,$B7,Fact_Jira_Issues!$M:$M,"Done")</f>
        <v>2</v>
      </c>
      <c r="G7" s="2">
        <f>COUNTIFS(Fact_Pull_Requests!$C:$C,$A7,Fact_Pull_Requests!$L:$L,$B7,Fact_Pull_Requests!$K:$K,"merged")</f>
        <v>2</v>
      </c>
      <c r="H7" s="2">
        <f>COUNTIFS(Fact_CI_Deployments!$D:$D,$A7,Fact_CI_Deployments!$L:$L,$B7,Fact_CI_Deployments!$H:$H,"prod",Fact_CI_Deployments!$K:$K,"success")</f>
        <v>2</v>
      </c>
      <c r="I7" s="2">
        <f>COUNTIFS(Fact_Bug_Reports!$C:$C,$A7,Fact_Bug_Reports!$K:$K,$B7,Fact_Bug_Reports!$I:$I,"Yes")</f>
        <v>1</v>
      </c>
      <c r="J7" s="5">
        <f>IF(F7=0,0,SUMIFS(Fact_Jira_Issues!$O:$O,Fact_Jira_Issues!$B:$B,$A7,Fact_Jira_Issues!$N:$N,$B7,Fact_Jira_Issues!$M:$M,"Done")/F7)</f>
        <v>3.7</v>
      </c>
      <c r="K7" s="5">
        <f>IF(H7=0,0,SUMIFS(Fact_CI_Deployments!$M:$M,Fact_CI_Deployments!$D:$D,$A7,Fact_CI_Deployments!$L:$L,$B7,Fact_CI_Deployments!$H:$H,"prod",Fact_CI_Deployments!$K:$K,"success")/H7)</f>
        <v>2.35</v>
      </c>
      <c r="L7" s="6">
        <f t="shared" si="0"/>
        <v>0.5</v>
      </c>
      <c r="M7" s="2" t="str">
        <f t="shared" si="1"/>
        <v>Quality watch</v>
      </c>
      <c r="N7" s="2" t="str">
        <f t="shared" si="2"/>
        <v>DEV-006|2026-04</v>
      </c>
    </row>
    <row r="8" spans="1:14" ht="22.05" customHeight="1" x14ac:dyDescent="0.3">
      <c r="A8" s="2" t="s">
        <v>228</v>
      </c>
      <c r="B8" s="2" t="s">
        <v>256</v>
      </c>
      <c r="C8" s="2" t="str">
        <f>INDEX(Dim_Developers!$B:$B,MATCH($A8,Dim_Developers!$A:$A,0))</f>
        <v>Mia Lopez</v>
      </c>
      <c r="D8" s="2" t="str">
        <f>INDEX(Dim_Developers!$C:$C,MATCH($A8,Dim_Developers!$A:$A,0))</f>
        <v>MGR-02</v>
      </c>
      <c r="E8" s="2" t="str">
        <f>INDEX(Dim_Developers!$E:$E,MATCH($A8,Dim_Developers!$A:$A,0))</f>
        <v>Checkout Web</v>
      </c>
      <c r="F8" s="2">
        <f>COUNTIFS(Fact_Jira_Issues!$B:$B,$A8,Fact_Jira_Issues!$N:$N,$B8,Fact_Jira_Issues!$M:$M,"Done")</f>
        <v>2</v>
      </c>
      <c r="G8" s="2">
        <f>COUNTIFS(Fact_Pull_Requests!$C:$C,$A8,Fact_Pull_Requests!$L:$L,$B8,Fact_Pull_Requests!$K:$K,"merged")</f>
        <v>2</v>
      </c>
      <c r="H8" s="2">
        <f>COUNTIFS(Fact_CI_Deployments!$D:$D,$A8,Fact_CI_Deployments!$L:$L,$B8,Fact_CI_Deployments!$H:$H,"prod",Fact_CI_Deployments!$K:$K,"success")</f>
        <v>2</v>
      </c>
      <c r="I8" s="2">
        <f>COUNTIFS(Fact_Bug_Reports!$C:$C,$A8,Fact_Bug_Reports!$K:$K,$B8,Fact_Bug_Reports!$I:$I,"Yes")</f>
        <v>1</v>
      </c>
      <c r="J8" s="5">
        <f>IF(F8=0,0,SUMIFS(Fact_Jira_Issues!$O:$O,Fact_Jira_Issues!$B:$B,$A8,Fact_Jira_Issues!$N:$N,$B8,Fact_Jira_Issues!$M:$M,"Done")/F8)</f>
        <v>4.05</v>
      </c>
      <c r="K8" s="5">
        <f>IF(H8=0,0,SUMIFS(Fact_CI_Deployments!$M:$M,Fact_CI_Deployments!$D:$D,$A8,Fact_CI_Deployments!$L:$L,$B8,Fact_CI_Deployments!$H:$H,"prod",Fact_CI_Deployments!$K:$K,"success")/H8)</f>
        <v>3.85</v>
      </c>
      <c r="L8" s="6">
        <f t="shared" si="0"/>
        <v>0.5</v>
      </c>
      <c r="M8" s="2" t="str">
        <f t="shared" si="1"/>
        <v>Quality watch</v>
      </c>
      <c r="N8" s="2" t="str">
        <f t="shared" si="2"/>
        <v>DEV-003|2026-03</v>
      </c>
    </row>
    <row r="9" spans="1:14" ht="22.05" customHeight="1" x14ac:dyDescent="0.3">
      <c r="A9" s="2" t="s">
        <v>228</v>
      </c>
      <c r="B9" s="2" t="s">
        <v>260</v>
      </c>
      <c r="C9" s="2" t="str">
        <f>INDEX(Dim_Developers!$B:$B,MATCH($A9,Dim_Developers!$A:$A,0))</f>
        <v>Mia Lopez</v>
      </c>
      <c r="D9" s="2" t="str">
        <f>INDEX(Dim_Developers!$C:$C,MATCH($A9,Dim_Developers!$A:$A,0))</f>
        <v>MGR-02</v>
      </c>
      <c r="E9" s="2" t="str">
        <f>INDEX(Dim_Developers!$E:$E,MATCH($A9,Dim_Developers!$A:$A,0))</f>
        <v>Checkout Web</v>
      </c>
      <c r="F9" s="2">
        <f>COUNTIFS(Fact_Jira_Issues!$B:$B,$A9,Fact_Jira_Issues!$N:$N,$B9,Fact_Jira_Issues!$M:$M,"Done")</f>
        <v>2</v>
      </c>
      <c r="G9" s="2">
        <f>COUNTIFS(Fact_Pull_Requests!$C:$C,$A9,Fact_Pull_Requests!$L:$L,$B9,Fact_Pull_Requests!$K:$K,"merged")</f>
        <v>2</v>
      </c>
      <c r="H9" s="2">
        <f>COUNTIFS(Fact_CI_Deployments!$D:$D,$A9,Fact_CI_Deployments!$L:$L,$B9,Fact_CI_Deployments!$H:$H,"prod",Fact_CI_Deployments!$K:$K,"success")</f>
        <v>2</v>
      </c>
      <c r="I9" s="2">
        <f>COUNTIFS(Fact_Bug_Reports!$C:$C,$A9,Fact_Bug_Reports!$K:$K,$B9,Fact_Bug_Reports!$I:$I,"Yes")</f>
        <v>0</v>
      </c>
      <c r="J9" s="5">
        <f>IF(F9=0,0,SUMIFS(Fact_Jira_Issues!$O:$O,Fact_Jira_Issues!$B:$B,$A9,Fact_Jira_Issues!$N:$N,$B9,Fact_Jira_Issues!$M:$M,"Done")/F9)</f>
        <v>3.05</v>
      </c>
      <c r="K9" s="5">
        <f>IF(H9=0,0,SUMIFS(Fact_CI_Deployments!$M:$M,Fact_CI_Deployments!$D:$D,$A9,Fact_CI_Deployments!$L:$L,$B9,Fact_CI_Deployments!$H:$H,"prod",Fact_CI_Deployments!$K:$K,"success")/H9)</f>
        <v>3.55</v>
      </c>
      <c r="L9" s="6">
        <f t="shared" si="0"/>
        <v>0</v>
      </c>
      <c r="M9" s="2" t="str">
        <f t="shared" si="1"/>
        <v>Healthy flow</v>
      </c>
      <c r="N9" s="2" t="str">
        <f t="shared" si="2"/>
        <v>DEV-003|2026-04</v>
      </c>
    </row>
    <row r="10" spans="1:14" ht="22.05" customHeight="1" x14ac:dyDescent="0.3">
      <c r="A10" s="2" t="s">
        <v>234</v>
      </c>
      <c r="B10" s="2" t="s">
        <v>256</v>
      </c>
      <c r="C10" s="2" t="str">
        <f>INDEX(Dim_Developers!$B:$B,MATCH($A10,Dim_Developers!$A:$A,0))</f>
        <v>Lucas Reed</v>
      </c>
      <c r="D10" s="2" t="str">
        <f>INDEX(Dim_Developers!$C:$C,MATCH($A10,Dim_Developers!$A:$A,0))</f>
        <v>MGR-02</v>
      </c>
      <c r="E10" s="2" t="str">
        <f>INDEX(Dim_Developers!$E:$E,MATCH($A10,Dim_Developers!$A:$A,0))</f>
        <v>Checkout Web</v>
      </c>
      <c r="F10" s="2">
        <f>COUNTIFS(Fact_Jira_Issues!$B:$B,$A10,Fact_Jira_Issues!$N:$N,$B10,Fact_Jira_Issues!$M:$M,"Done")</f>
        <v>2</v>
      </c>
      <c r="G10" s="2">
        <f>COUNTIFS(Fact_Pull_Requests!$C:$C,$A10,Fact_Pull_Requests!$L:$L,$B10,Fact_Pull_Requests!$K:$K,"merged")</f>
        <v>2</v>
      </c>
      <c r="H10" s="2">
        <f>COUNTIFS(Fact_CI_Deployments!$D:$D,$A10,Fact_CI_Deployments!$L:$L,$B10,Fact_CI_Deployments!$H:$H,"prod",Fact_CI_Deployments!$K:$K,"success")</f>
        <v>2</v>
      </c>
      <c r="I10" s="2">
        <f>COUNTIFS(Fact_Bug_Reports!$C:$C,$A10,Fact_Bug_Reports!$K:$K,$B10,Fact_Bug_Reports!$I:$I,"Yes")</f>
        <v>0</v>
      </c>
      <c r="J10" s="5">
        <f>IF(F10=0,0,SUMIFS(Fact_Jira_Issues!$O:$O,Fact_Jira_Issues!$B:$B,$A10,Fact_Jira_Issues!$N:$N,$B10,Fact_Jira_Issues!$M:$M,"Done")/F10)</f>
        <v>3.85</v>
      </c>
      <c r="K10" s="5">
        <f>IF(H10=0,0,SUMIFS(Fact_CI_Deployments!$M:$M,Fact_CI_Deployments!$D:$D,$A10,Fact_CI_Deployments!$L:$L,$B10,Fact_CI_Deployments!$H:$H,"prod",Fact_CI_Deployments!$K:$K,"success")/H10)</f>
        <v>2.0999999999999996</v>
      </c>
      <c r="L10" s="6">
        <f t="shared" si="0"/>
        <v>0</v>
      </c>
      <c r="M10" s="2" t="str">
        <f t="shared" si="1"/>
        <v>Healthy flow</v>
      </c>
      <c r="N10" s="2" t="str">
        <f t="shared" si="2"/>
        <v>DEV-004|2026-03</v>
      </c>
    </row>
    <row r="11" spans="1:14" ht="22.05" customHeight="1" x14ac:dyDescent="0.3">
      <c r="A11" s="2" t="s">
        <v>234</v>
      </c>
      <c r="B11" s="2" t="s">
        <v>260</v>
      </c>
      <c r="C11" s="2" t="str">
        <f>INDEX(Dim_Developers!$B:$B,MATCH($A11,Dim_Developers!$A:$A,0))</f>
        <v>Lucas Reed</v>
      </c>
      <c r="D11" s="2" t="str">
        <f>INDEX(Dim_Developers!$C:$C,MATCH($A11,Dim_Developers!$A:$A,0))</f>
        <v>MGR-02</v>
      </c>
      <c r="E11" s="2" t="str">
        <f>INDEX(Dim_Developers!$E:$E,MATCH($A11,Dim_Developers!$A:$A,0))</f>
        <v>Checkout Web</v>
      </c>
      <c r="F11" s="2">
        <f>COUNTIFS(Fact_Jira_Issues!$B:$B,$A11,Fact_Jira_Issues!$N:$N,$B11,Fact_Jira_Issues!$M:$M,"Done")</f>
        <v>2</v>
      </c>
      <c r="G11" s="2">
        <f>COUNTIFS(Fact_Pull_Requests!$C:$C,$A11,Fact_Pull_Requests!$L:$L,$B11,Fact_Pull_Requests!$K:$K,"merged")</f>
        <v>2</v>
      </c>
      <c r="H11" s="2">
        <f>COUNTIFS(Fact_CI_Deployments!$D:$D,$A11,Fact_CI_Deployments!$L:$L,$B11,Fact_CI_Deployments!$H:$H,"prod",Fact_CI_Deployments!$K:$K,"success")</f>
        <v>2</v>
      </c>
      <c r="I11" s="2">
        <f>COUNTIFS(Fact_Bug_Reports!$C:$C,$A11,Fact_Bug_Reports!$K:$K,$B11,Fact_Bug_Reports!$I:$I,"Yes")</f>
        <v>0</v>
      </c>
      <c r="J11" s="5">
        <f>IF(F11=0,0,SUMIFS(Fact_Jira_Issues!$O:$O,Fact_Jira_Issues!$B:$B,$A11,Fact_Jira_Issues!$N:$N,$B11,Fact_Jira_Issues!$M:$M,"Done")/F11)</f>
        <v>3.55</v>
      </c>
      <c r="K11" s="5">
        <f>IF(H11=0,0,SUMIFS(Fact_CI_Deployments!$M:$M,Fact_CI_Deployments!$D:$D,$A11,Fact_CI_Deployments!$L:$L,$B11,Fact_CI_Deployments!$H:$H,"prod",Fact_CI_Deployments!$K:$K,"success")/H11)</f>
        <v>2.9</v>
      </c>
      <c r="L11" s="6">
        <f t="shared" si="0"/>
        <v>0</v>
      </c>
      <c r="M11" s="2" t="str">
        <f t="shared" si="1"/>
        <v>Healthy flow</v>
      </c>
      <c r="N11" s="2" t="str">
        <f t="shared" si="2"/>
        <v>DEV-004|2026-04</v>
      </c>
    </row>
    <row r="12" spans="1:14" ht="22.05" customHeight="1" x14ac:dyDescent="0.3">
      <c r="A12" s="2" t="s">
        <v>236</v>
      </c>
      <c r="B12" s="2" t="s">
        <v>256</v>
      </c>
      <c r="C12" s="2" t="str">
        <f>INDEX(Dim_Developers!$B:$B,MATCH($A12,Dim_Developers!$A:$A,0))</f>
        <v>Zara Khan</v>
      </c>
      <c r="D12" s="2" t="str">
        <f>INDEX(Dim_Developers!$C:$C,MATCH($A12,Dim_Developers!$A:$A,0))</f>
        <v>MGR-02</v>
      </c>
      <c r="E12" s="2" t="str">
        <f>INDEX(Dim_Developers!$E:$E,MATCH($A12,Dim_Developers!$A:$A,0))</f>
        <v>Checkout Web</v>
      </c>
      <c r="F12" s="2">
        <f>COUNTIFS(Fact_Jira_Issues!$B:$B,$A12,Fact_Jira_Issues!$N:$N,$B12,Fact_Jira_Issues!$M:$M,"Done")</f>
        <v>2</v>
      </c>
      <c r="G12" s="2">
        <f>COUNTIFS(Fact_Pull_Requests!$C:$C,$A12,Fact_Pull_Requests!$L:$L,$B12,Fact_Pull_Requests!$K:$K,"merged")</f>
        <v>2</v>
      </c>
      <c r="H12" s="2">
        <f>COUNTIFS(Fact_CI_Deployments!$D:$D,$A12,Fact_CI_Deployments!$L:$L,$B12,Fact_CI_Deployments!$H:$H,"prod",Fact_CI_Deployments!$K:$K,"success")</f>
        <v>2</v>
      </c>
      <c r="I12" s="2">
        <f>COUNTIFS(Fact_Bug_Reports!$C:$C,$A12,Fact_Bug_Reports!$K:$K,$B12,Fact_Bug_Reports!$I:$I,"Yes")</f>
        <v>0</v>
      </c>
      <c r="J12" s="5">
        <f>IF(F12=0,0,SUMIFS(Fact_Jira_Issues!$O:$O,Fact_Jira_Issues!$B:$B,$A12,Fact_Jira_Issues!$N:$N,$B12,Fact_Jira_Issues!$M:$M,"Done")/F12)</f>
        <v>3.8</v>
      </c>
      <c r="K12" s="5">
        <f>IF(H12=0,0,SUMIFS(Fact_CI_Deployments!$M:$M,Fact_CI_Deployments!$D:$D,$A12,Fact_CI_Deployments!$L:$L,$B12,Fact_CI_Deployments!$H:$H,"prod",Fact_CI_Deployments!$K:$K,"success")/H12)</f>
        <v>3.15</v>
      </c>
      <c r="L12" s="6">
        <f t="shared" si="0"/>
        <v>0</v>
      </c>
      <c r="M12" s="2" t="str">
        <f t="shared" si="1"/>
        <v>Healthy flow</v>
      </c>
      <c r="N12" s="2" t="str">
        <f t="shared" si="2"/>
        <v>DEV-008|2026-03</v>
      </c>
    </row>
    <row r="13" spans="1:14" ht="22.05" customHeight="1" x14ac:dyDescent="0.3">
      <c r="A13" s="2" t="s">
        <v>236</v>
      </c>
      <c r="B13" s="2" t="s">
        <v>260</v>
      </c>
      <c r="C13" s="2" t="str">
        <f>INDEX(Dim_Developers!$B:$B,MATCH($A13,Dim_Developers!$A:$A,0))</f>
        <v>Zara Khan</v>
      </c>
      <c r="D13" s="2" t="str">
        <f>INDEX(Dim_Developers!$C:$C,MATCH($A13,Dim_Developers!$A:$A,0))</f>
        <v>MGR-02</v>
      </c>
      <c r="E13" s="2" t="str">
        <f>INDEX(Dim_Developers!$E:$E,MATCH($A13,Dim_Developers!$A:$A,0))</f>
        <v>Checkout Web</v>
      </c>
      <c r="F13" s="2">
        <f>COUNTIFS(Fact_Jira_Issues!$B:$B,$A13,Fact_Jira_Issues!$N:$N,$B13,Fact_Jira_Issues!$M:$M,"Done")</f>
        <v>2</v>
      </c>
      <c r="G13" s="2">
        <f>COUNTIFS(Fact_Pull_Requests!$C:$C,$A13,Fact_Pull_Requests!$L:$L,$B13,Fact_Pull_Requests!$K:$K,"merged")</f>
        <v>2</v>
      </c>
      <c r="H13" s="2">
        <f>COUNTIFS(Fact_CI_Deployments!$D:$D,$A13,Fact_CI_Deployments!$L:$L,$B13,Fact_CI_Deployments!$H:$H,"prod",Fact_CI_Deployments!$K:$K,"success")</f>
        <v>2</v>
      </c>
      <c r="I13" s="2">
        <f>COUNTIFS(Fact_Bug_Reports!$C:$C,$A13,Fact_Bug_Reports!$K:$K,$B13,Fact_Bug_Reports!$I:$I,"Yes")</f>
        <v>1</v>
      </c>
      <c r="J13" s="5">
        <f>IF(F13=0,0,SUMIFS(Fact_Jira_Issues!$O:$O,Fact_Jira_Issues!$B:$B,$A13,Fact_Jira_Issues!$N:$N,$B13,Fact_Jira_Issues!$M:$M,"Done")/F13)</f>
        <v>3.85</v>
      </c>
      <c r="K13" s="5">
        <f>IF(H13=0,0,SUMIFS(Fact_CI_Deployments!$M:$M,Fact_CI_Deployments!$D:$D,$A13,Fact_CI_Deployments!$L:$L,$B13,Fact_CI_Deployments!$H:$H,"prod",Fact_CI_Deployments!$K:$K,"success")/H13)</f>
        <v>3.4</v>
      </c>
      <c r="L13" s="6">
        <f t="shared" si="0"/>
        <v>0.5</v>
      </c>
      <c r="M13" s="2" t="str">
        <f t="shared" si="1"/>
        <v>Quality watch</v>
      </c>
      <c r="N13" s="2" t="str">
        <f t="shared" si="2"/>
        <v>DEV-008|2026-04</v>
      </c>
    </row>
    <row r="14" spans="1:14" ht="22.05" customHeight="1" x14ac:dyDescent="0.3">
      <c r="A14" s="2" t="s">
        <v>238</v>
      </c>
      <c r="B14" s="2" t="s">
        <v>256</v>
      </c>
      <c r="C14" s="2" t="str">
        <f>INDEX(Dim_Developers!$B:$B,MATCH($A14,Dim_Developers!$A:$A,0))</f>
        <v>Emma Roy</v>
      </c>
      <c r="D14" s="2" t="str">
        <f>INDEX(Dim_Developers!$C:$C,MATCH($A14,Dim_Developers!$A:$A,0))</f>
        <v>MGR-03</v>
      </c>
      <c r="E14" s="2" t="str">
        <f>INDEX(Dim_Developers!$E:$E,MATCH($A14,Dim_Developers!$A:$A,0))</f>
        <v>Mobile Growth</v>
      </c>
      <c r="F14" s="2">
        <f>COUNTIFS(Fact_Jira_Issues!$B:$B,$A14,Fact_Jira_Issues!$N:$N,$B14,Fact_Jira_Issues!$M:$M,"Done")</f>
        <v>2</v>
      </c>
      <c r="G14" s="2">
        <f>COUNTIFS(Fact_Pull_Requests!$C:$C,$A14,Fact_Pull_Requests!$L:$L,$B14,Fact_Pull_Requests!$K:$K,"merged")</f>
        <v>2</v>
      </c>
      <c r="H14" s="2">
        <f>COUNTIFS(Fact_CI_Deployments!$D:$D,$A14,Fact_CI_Deployments!$L:$L,$B14,Fact_CI_Deployments!$H:$H,"prod",Fact_CI_Deployments!$K:$K,"success")</f>
        <v>2</v>
      </c>
      <c r="I14" s="2">
        <f>COUNTIFS(Fact_Bug_Reports!$C:$C,$A14,Fact_Bug_Reports!$K:$K,$B14,Fact_Bug_Reports!$I:$I,"Yes")</f>
        <v>1</v>
      </c>
      <c r="J14" s="5">
        <f>IF(F14=0,0,SUMIFS(Fact_Jira_Issues!$O:$O,Fact_Jira_Issues!$B:$B,$A14,Fact_Jira_Issues!$N:$N,$B14,Fact_Jira_Issues!$M:$M,"Done")/F14)</f>
        <v>5.9499999999999993</v>
      </c>
      <c r="K14" s="5">
        <f>IF(H14=0,0,SUMIFS(Fact_CI_Deployments!$M:$M,Fact_CI_Deployments!$D:$D,$A14,Fact_CI_Deployments!$L:$L,$B14,Fact_CI_Deployments!$H:$H,"prod",Fact_CI_Deployments!$K:$K,"success")/H14)</f>
        <v>4.95</v>
      </c>
      <c r="L14" s="6">
        <f t="shared" si="0"/>
        <v>0.5</v>
      </c>
      <c r="M14" s="2" t="str">
        <f t="shared" si="1"/>
        <v>Quality watch</v>
      </c>
      <c r="N14" s="2" t="str">
        <f t="shared" si="2"/>
        <v>DEV-005|2026-03</v>
      </c>
    </row>
    <row r="15" spans="1:14" ht="22.05" customHeight="1" x14ac:dyDescent="0.3">
      <c r="A15" s="2" t="s">
        <v>238</v>
      </c>
      <c r="B15" s="2" t="s">
        <v>260</v>
      </c>
      <c r="C15" s="2" t="str">
        <f>INDEX(Dim_Developers!$B:$B,MATCH($A15,Dim_Developers!$A:$A,0))</f>
        <v>Emma Roy</v>
      </c>
      <c r="D15" s="2" t="str">
        <f>INDEX(Dim_Developers!$C:$C,MATCH($A15,Dim_Developers!$A:$A,0))</f>
        <v>MGR-03</v>
      </c>
      <c r="E15" s="2" t="str">
        <f>INDEX(Dim_Developers!$E:$E,MATCH($A15,Dim_Developers!$A:$A,0))</f>
        <v>Mobile Growth</v>
      </c>
      <c r="F15" s="2">
        <f>COUNTIFS(Fact_Jira_Issues!$B:$B,$A15,Fact_Jira_Issues!$N:$N,$B15,Fact_Jira_Issues!$M:$M,"Done")</f>
        <v>2</v>
      </c>
      <c r="G15" s="2">
        <f>COUNTIFS(Fact_Pull_Requests!$C:$C,$A15,Fact_Pull_Requests!$L:$L,$B15,Fact_Pull_Requests!$K:$K,"merged")</f>
        <v>2</v>
      </c>
      <c r="H15" s="2">
        <f>COUNTIFS(Fact_CI_Deployments!$D:$D,$A15,Fact_CI_Deployments!$L:$L,$B15,Fact_CI_Deployments!$H:$H,"prod",Fact_CI_Deployments!$K:$K,"success")</f>
        <v>2</v>
      </c>
      <c r="I15" s="2">
        <f>COUNTIFS(Fact_Bug_Reports!$C:$C,$A15,Fact_Bug_Reports!$K:$K,$B15,Fact_Bug_Reports!$I:$I,"Yes")</f>
        <v>0</v>
      </c>
      <c r="J15" s="5">
        <f>IF(F15=0,0,SUMIFS(Fact_Jira_Issues!$O:$O,Fact_Jira_Issues!$B:$B,$A15,Fact_Jira_Issues!$N:$N,$B15,Fact_Jira_Issues!$M:$M,"Done")/F15)</f>
        <v>6.5</v>
      </c>
      <c r="K15" s="5">
        <f>IF(H15=0,0,SUMIFS(Fact_CI_Deployments!$M:$M,Fact_CI_Deployments!$D:$D,$A15,Fact_CI_Deployments!$L:$L,$B15,Fact_CI_Deployments!$H:$H,"prod",Fact_CI_Deployments!$K:$K,"success")/H15)</f>
        <v>4.7</v>
      </c>
      <c r="L15" s="6">
        <f t="shared" si="0"/>
        <v>0</v>
      </c>
      <c r="M15" s="2" t="str">
        <f t="shared" si="1"/>
        <v>Needs review</v>
      </c>
      <c r="N15" s="2" t="str">
        <f t="shared" si="2"/>
        <v>DEV-005|2026-04</v>
      </c>
    </row>
    <row r="16" spans="1:14" ht="22.05" customHeight="1" x14ac:dyDescent="0.3">
      <c r="A16" s="2" t="s">
        <v>244</v>
      </c>
      <c r="B16" s="2" t="s">
        <v>256</v>
      </c>
      <c r="C16" s="2" t="str">
        <f>INDEX(Dim_Developers!$B:$B,MATCH($A16,Dim_Developers!$A:$A,0))</f>
        <v>Owen Brooks</v>
      </c>
      <c r="D16" s="2" t="str">
        <f>INDEX(Dim_Developers!$C:$C,MATCH($A16,Dim_Developers!$A:$A,0))</f>
        <v>MGR-03</v>
      </c>
      <c r="E16" s="2" t="str">
        <f>INDEX(Dim_Developers!$E:$E,MATCH($A16,Dim_Developers!$A:$A,0))</f>
        <v>Mobile Growth</v>
      </c>
      <c r="F16" s="2">
        <f>COUNTIFS(Fact_Jira_Issues!$B:$B,$A16,Fact_Jira_Issues!$N:$N,$B16,Fact_Jira_Issues!$M:$M,"Done")</f>
        <v>2</v>
      </c>
      <c r="G16" s="2">
        <f>COUNTIFS(Fact_Pull_Requests!$C:$C,$A16,Fact_Pull_Requests!$L:$L,$B16,Fact_Pull_Requests!$K:$K,"merged")</f>
        <v>2</v>
      </c>
      <c r="H16" s="2">
        <f>COUNTIFS(Fact_CI_Deployments!$D:$D,$A16,Fact_CI_Deployments!$L:$L,$B16,Fact_CI_Deployments!$H:$H,"prod",Fact_CI_Deployments!$K:$K,"success")</f>
        <v>2</v>
      </c>
      <c r="I16" s="2">
        <f>COUNTIFS(Fact_Bug_Reports!$C:$C,$A16,Fact_Bug_Reports!$K:$K,$B16,Fact_Bug_Reports!$I:$I,"Yes")</f>
        <v>1</v>
      </c>
      <c r="J16" s="5">
        <f>IF(F16=0,0,SUMIFS(Fact_Jira_Issues!$O:$O,Fact_Jira_Issues!$B:$B,$A16,Fact_Jira_Issues!$N:$N,$B16,Fact_Jira_Issues!$M:$M,"Done")/F16)</f>
        <v>4.5500000000000007</v>
      </c>
      <c r="K16" s="5">
        <f>IF(H16=0,0,SUMIFS(Fact_CI_Deployments!$M:$M,Fact_CI_Deployments!$D:$D,$A16,Fact_CI_Deployments!$L:$L,$B16,Fact_CI_Deployments!$H:$H,"prod",Fact_CI_Deployments!$K:$K,"success")/H16)</f>
        <v>4.3</v>
      </c>
      <c r="L16" s="6">
        <f t="shared" si="0"/>
        <v>0.5</v>
      </c>
      <c r="M16" s="2" t="str">
        <f t="shared" si="1"/>
        <v>Quality watch</v>
      </c>
      <c r="N16" s="2" t="str">
        <f t="shared" si="2"/>
        <v>DEV-007|2026-03</v>
      </c>
    </row>
    <row r="17" spans="1:14" ht="22.05" customHeight="1" x14ac:dyDescent="0.3">
      <c r="A17" s="2" t="s">
        <v>244</v>
      </c>
      <c r="B17" s="2" t="s">
        <v>260</v>
      </c>
      <c r="C17" s="2" t="str">
        <f>INDEX(Dim_Developers!$B:$B,MATCH($A17,Dim_Developers!$A:$A,0))</f>
        <v>Owen Brooks</v>
      </c>
      <c r="D17" s="2" t="str">
        <f>INDEX(Dim_Developers!$C:$C,MATCH($A17,Dim_Developers!$A:$A,0))</f>
        <v>MGR-03</v>
      </c>
      <c r="E17" s="2" t="str">
        <f>INDEX(Dim_Developers!$E:$E,MATCH($A17,Dim_Developers!$A:$A,0))</f>
        <v>Mobile Growth</v>
      </c>
      <c r="F17" s="2">
        <f>COUNTIFS(Fact_Jira_Issues!$B:$B,$A17,Fact_Jira_Issues!$N:$N,$B17,Fact_Jira_Issues!$M:$M,"Done")</f>
        <v>2</v>
      </c>
      <c r="G17" s="2">
        <f>COUNTIFS(Fact_Pull_Requests!$C:$C,$A17,Fact_Pull_Requests!$L:$L,$B17,Fact_Pull_Requests!$K:$K,"merged")</f>
        <v>2</v>
      </c>
      <c r="H17" s="2">
        <f>COUNTIFS(Fact_CI_Deployments!$D:$D,$A17,Fact_CI_Deployments!$L:$L,$B17,Fact_CI_Deployments!$H:$H,"prod",Fact_CI_Deployments!$K:$K,"success")</f>
        <v>2</v>
      </c>
      <c r="I17" s="2">
        <f>COUNTIFS(Fact_Bug_Reports!$C:$C,$A17,Fact_Bug_Reports!$K:$K,$B17,Fact_Bug_Reports!$I:$I,"Yes")</f>
        <v>0</v>
      </c>
      <c r="J17" s="5">
        <f>IF(F17=0,0,SUMIFS(Fact_Jira_Issues!$O:$O,Fact_Jira_Issues!$B:$B,$A17,Fact_Jira_Issues!$N:$N,$B17,Fact_Jira_Issues!$M:$M,"Done")/F17)</f>
        <v>4.8</v>
      </c>
      <c r="K17" s="5">
        <f>IF(H17=0,0,SUMIFS(Fact_CI_Deployments!$M:$M,Fact_CI_Deployments!$D:$D,$A17,Fact_CI_Deployments!$L:$L,$B17,Fact_CI_Deployments!$H:$H,"prod",Fact_CI_Deployments!$K:$K,"success")/H17)</f>
        <v>3.65</v>
      </c>
      <c r="L17" s="6">
        <f t="shared" si="0"/>
        <v>0</v>
      </c>
      <c r="M17" s="2" t="str">
        <f t="shared" si="1"/>
        <v>Healthy flow</v>
      </c>
      <c r="N17" s="2" t="str">
        <f t="shared" si="2"/>
        <v>DEV-007|2026-04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4"/>
  <sheetViews>
    <sheetView showGridLines="0" topLeftCell="A6" workbookViewId="0">
      <selection activeCell="B12" sqref="B12"/>
    </sheetView>
  </sheetViews>
  <sheetFormatPr defaultRowHeight="14.4" x14ac:dyDescent="0.3"/>
  <cols>
    <col min="1" max="1" width="22" customWidth="1"/>
    <col min="2" max="3" width="18" customWidth="1"/>
    <col min="4" max="6" width="22" customWidth="1"/>
  </cols>
  <sheetData>
    <row r="1" spans="1:8" ht="21" x14ac:dyDescent="0.4">
      <c r="A1" s="18" t="s">
        <v>400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401</v>
      </c>
      <c r="B2" s="17"/>
      <c r="C2" s="17"/>
      <c r="D2" s="17"/>
      <c r="E2" s="17"/>
      <c r="F2" s="17"/>
      <c r="G2" s="17"/>
      <c r="H2" s="17"/>
    </row>
    <row r="4" spans="1:8" x14ac:dyDescent="0.3">
      <c r="A4" s="7" t="s">
        <v>402</v>
      </c>
      <c r="B4" s="8" t="s">
        <v>222</v>
      </c>
    </row>
    <row r="5" spans="1:8" x14ac:dyDescent="0.3">
      <c r="A5" s="7" t="s">
        <v>403</v>
      </c>
      <c r="B5" s="8" t="s">
        <v>260</v>
      </c>
    </row>
    <row r="6" spans="1:8" ht="17.399999999999999" x14ac:dyDescent="0.35">
      <c r="D6" s="3" t="s">
        <v>404</v>
      </c>
    </row>
    <row r="7" spans="1:8" ht="24" customHeight="1" x14ac:dyDescent="0.3">
      <c r="A7" s="9" t="s">
        <v>405</v>
      </c>
      <c r="B7" s="10" t="str">
        <f>INDEX(Dim_Developers!$B:$B,MATCH($B$4,Dim_Developers!$A:$A,0))</f>
        <v>Noah Patel</v>
      </c>
      <c r="D7" s="2" t="s">
        <v>406</v>
      </c>
    </row>
    <row r="8" spans="1:8" ht="24" customHeight="1" x14ac:dyDescent="0.3">
      <c r="A8" s="9" t="s">
        <v>407</v>
      </c>
      <c r="B8" s="10" t="str">
        <f>INDEX(Dim_Developers!$E:$E,MATCH($B$4,Dim_Developers!$A:$A,0))</f>
        <v>Payments API</v>
      </c>
    </row>
    <row r="9" spans="1:8" ht="24" customHeight="1" x14ac:dyDescent="0.35">
      <c r="A9" s="9" t="s">
        <v>408</v>
      </c>
      <c r="B9" s="11">
        <f>IF(COUNTIFS(Fact_CI_Deployments!$D:$D,$B$4,Fact_CI_Deployments!$L:$L,$B$5,Fact_CI_Deployments!$H:$H,"prod",Fact_CI_Deployments!$K:$K,"success")=0,0,SUMIFS(Fact_CI_Deployments!$M:$M,Fact_CI_Deployments!$D:$D,$B$4,Fact_CI_Deployments!$L:$L,$B$5,Fact_CI_Deployments!$H:$H,"prod",Fact_CI_Deployments!$K:$K,"success")/COUNTIFS(Fact_CI_Deployments!$D:$D,$B$4,Fact_CI_Deployments!$L:$L,$B$5,Fact_CI_Deployments!$H:$H,"prod",Fact_CI_Deployments!$K:$K,"success"))</f>
        <v>3.75</v>
      </c>
      <c r="D9" s="3" t="s">
        <v>409</v>
      </c>
    </row>
    <row r="10" spans="1:8" ht="61.8" customHeight="1" x14ac:dyDescent="0.3">
      <c r="A10" s="9" t="s">
        <v>410</v>
      </c>
      <c r="B10" s="11">
        <f>IF(COUNTIFS(Fact_Jira_Issues!$B:$B,$B$4,Fact_Jira_Issues!$N:$N,$B$5,Fact_Jira_Issues!$M:$M,"Done")=0,0,SUMIFS(Fact_Jira_Issues!$O:$O,Fact_Jira_Issues!$B:$B,$B$4,Fact_Jira_Issues!$N:$N,$B$5,Fact_Jira_Issues!$M:$M,"Done")/COUNTIFS(Fact_Jira_Issues!$B:$B,$B$4,Fact_Jira_Issues!$N:$N,$B$5,Fact_Jira_Issues!$M:$M,"Done"))</f>
        <v>5.4</v>
      </c>
      <c r="D10" s="2" t="s">
        <v>411</v>
      </c>
    </row>
    <row r="11" spans="1:8" ht="54.6" customHeight="1" x14ac:dyDescent="0.3">
      <c r="A11" s="9" t="s">
        <v>412</v>
      </c>
      <c r="B11" s="10">
        <f>COUNTIFS(Fact_Pull_Requests!$C:$C,$B$4,Fact_Pull_Requests!$L:$L,$B$5,Fact_Pull_Requests!$K:$K,"merged")</f>
        <v>2</v>
      </c>
      <c r="D11" s="2" t="s">
        <v>413</v>
      </c>
    </row>
    <row r="12" spans="1:8" ht="48" customHeight="1" x14ac:dyDescent="0.3">
      <c r="A12" s="9" t="s">
        <v>414</v>
      </c>
      <c r="B12" s="10">
        <f>COUNTIFS(Fact_CI_Deployments!$D:$D,$B$4,Fact_CI_Deployments!$L:$L,$B$5,Fact_CI_Deployments!$H:$H,"prod",Fact_CI_Deployments!$K:$K,"success")</f>
        <v>2</v>
      </c>
      <c r="D12" s="2" t="s">
        <v>415</v>
      </c>
    </row>
    <row r="13" spans="1:8" ht="24" customHeight="1" x14ac:dyDescent="0.3">
      <c r="A13" s="9" t="s">
        <v>416</v>
      </c>
      <c r="B13" s="12">
        <f>IF(COUNTIFS(Fact_Jira_Issues!$B:$B,$B$4,Fact_Jira_Issues!$N:$N,$B$5,Fact_Jira_Issues!$M:$M,"Done")=0,0,COUNTIFS(Fact_Bug_Reports!$C:$C,$B$4,Fact_Bug_Reports!$K:$K,$B$5,Fact_Bug_Reports!$I:$I,"Yes")/COUNTIFS(Fact_Jira_Issues!$B:$B,$B$4,Fact_Jira_Issues!$N:$N,$B$5,Fact_Jira_Issues!$M:$M,"Done"))</f>
        <v>0.5</v>
      </c>
    </row>
    <row r="14" spans="1:8" ht="24" customHeight="1" x14ac:dyDescent="0.3">
      <c r="A14" s="9" t="s">
        <v>417</v>
      </c>
      <c r="B14" s="10" t="str">
        <f>IF(AND(B9&gt;6,B13&gt;0.15),"Slow + quality risk",IF(AND(B9&gt;6,B12&lt;2),"Slow release loop",IF(AND(B13&gt;0.12,B12&gt;=2),"Quality watch",IF(AND(B9&lt;4.5,B13&lt;0.1),"Healthy flow","Needs review"))))</f>
        <v>Quality watch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"/>
  <sheetViews>
    <sheetView showGridLines="0" tabSelected="1" workbookViewId="0">
      <selection activeCell="D14" sqref="D14"/>
    </sheetView>
  </sheetViews>
  <sheetFormatPr defaultRowHeight="14.4" x14ac:dyDescent="0.3"/>
  <cols>
    <col min="1" max="1" width="12" customWidth="1"/>
    <col min="2" max="2" width="18" customWidth="1"/>
    <col min="3" max="4" width="12" customWidth="1"/>
    <col min="5" max="7" width="14" customWidth="1"/>
    <col min="8" max="8" width="18" customWidth="1"/>
  </cols>
  <sheetData>
    <row r="1" spans="1:8" ht="28.05" customHeight="1" x14ac:dyDescent="0.3">
      <c r="A1" s="1" t="s">
        <v>211</v>
      </c>
      <c r="B1" s="1" t="s">
        <v>176</v>
      </c>
      <c r="C1" s="1" t="s">
        <v>390</v>
      </c>
      <c r="D1" s="1" t="s">
        <v>418</v>
      </c>
      <c r="E1" s="1" t="s">
        <v>396</v>
      </c>
      <c r="F1" s="1" t="s">
        <v>395</v>
      </c>
      <c r="G1" s="1" t="s">
        <v>419</v>
      </c>
      <c r="H1" s="1" t="s">
        <v>420</v>
      </c>
    </row>
    <row r="2" spans="1:8" ht="25.95" customHeight="1" x14ac:dyDescent="0.3">
      <c r="A2" s="2" t="s">
        <v>217</v>
      </c>
      <c r="B2" s="2" t="s">
        <v>218</v>
      </c>
      <c r="C2" s="2" t="s">
        <v>256</v>
      </c>
      <c r="D2" s="2">
        <f>COUNTIFS(Dim_Developers!$C:$C,$A2)</f>
        <v>3</v>
      </c>
      <c r="E2" s="5">
        <f>IF(COUNTIFS(Fact_CI_Deployments!$F:$F,$A2,Fact_CI_Deployments!$L:$L,$C2,Fact_CI_Deployments!$H:$H,"prod",Fact_CI_Deployments!$K:$K,"success")=0,0,SUMIFS(Fact_CI_Deployments!$M:$M,Fact_CI_Deployments!$F:$F,$A2,Fact_CI_Deployments!$L:$L,$C2,Fact_CI_Deployments!$H:$H,"prod",Fact_CI_Deployments!$K:$K,"success")/COUNTIFS(Fact_CI_Deployments!$F:$F,$A2,Fact_CI_Deployments!$L:$L,$C2,Fact_CI_Deployments!$H:$H,"prod",Fact_CI_Deployments!$K:$K,"success"))</f>
        <v>3.0166666666666671</v>
      </c>
      <c r="F2" s="5">
        <f>IF(COUNTIFS(Fact_Jira_Issues!$D:$D,$A2,Fact_Jira_Issues!$N:$N,$C2,Fact_Jira_Issues!$M:$M,"Done")=0,0,SUMIFS(Fact_Jira_Issues!$O:$O,Fact_Jira_Issues!$D:$D,$A2,Fact_Jira_Issues!$N:$N,$C2,Fact_Jira_Issues!$M:$M,"Done")/COUNTIFS(Fact_Jira_Issues!$D:$D,$A2,Fact_Jira_Issues!$N:$N,$C2,Fact_Jira_Issues!$M:$M,"Done"))</f>
        <v>4.5333333333333341</v>
      </c>
      <c r="G2" s="6">
        <f>IF(COUNTIFS(Fact_Jira_Issues!$D:$D,$A2,Fact_Jira_Issues!$N:$N,$C2,Fact_Jira_Issues!$M:$M,"Done")=0,0,COUNTIFS(Fact_Bug_Reports!$E:$E,$A2,Fact_Bug_Reports!$K:$K,$C2,Fact_Bug_Reports!$I:$I,"Yes")/COUNTIFS(Fact_Jira_Issues!$D:$D,$A2,Fact_Jira_Issues!$N:$N,$C2,Fact_Jira_Issues!$M:$M,"Done"))</f>
        <v>0</v>
      </c>
      <c r="H2" s="2" t="str">
        <f t="shared" ref="H2:H7" si="0">IF(AND(E2&lt;4.5,G2&lt;0.1),"Healthy flow",IF(AND(E2&gt;6,G2&gt;0.12),"Team needs help","Watch bottlenecks"))</f>
        <v>Healthy flow</v>
      </c>
    </row>
    <row r="3" spans="1:8" ht="25.95" customHeight="1" x14ac:dyDescent="0.3">
      <c r="A3" s="2" t="s">
        <v>217</v>
      </c>
      <c r="B3" s="2" t="s">
        <v>218</v>
      </c>
      <c r="C3" s="2" t="s">
        <v>260</v>
      </c>
      <c r="D3" s="2">
        <f>COUNTIFS(Dim_Developers!$C:$C,$A3)</f>
        <v>3</v>
      </c>
      <c r="E3" s="5">
        <f>IF(COUNTIFS(Fact_CI_Deployments!$F:$F,$A3,Fact_CI_Deployments!$L:$L,$C3,Fact_CI_Deployments!$H:$H,"prod",Fact_CI_Deployments!$K:$K,"success")=0,0,SUMIFS(Fact_CI_Deployments!$M:$M,Fact_CI_Deployments!$F:$F,$A3,Fact_CI_Deployments!$L:$L,$C3,Fact_CI_Deployments!$H:$H,"prod",Fact_CI_Deployments!$K:$K,"success")/COUNTIFS(Fact_CI_Deployments!$F:$F,$A3,Fact_CI_Deployments!$L:$L,$C3,Fact_CI_Deployments!$H:$H,"prod",Fact_CI_Deployments!$K:$K,"success"))</f>
        <v>3.15</v>
      </c>
      <c r="F3" s="5">
        <f>IF(COUNTIFS(Fact_Jira_Issues!$D:$D,$A3,Fact_Jira_Issues!$N:$N,$C3,Fact_Jira_Issues!$M:$M,"Done")=0,0,SUMIFS(Fact_Jira_Issues!$O:$O,Fact_Jira_Issues!$D:$D,$A3,Fact_Jira_Issues!$N:$N,$C3,Fact_Jira_Issues!$M:$M,"Done")/COUNTIFS(Fact_Jira_Issues!$D:$D,$A3,Fact_Jira_Issues!$N:$N,$C3,Fact_Jira_Issues!$M:$M,"Done"))</f>
        <v>4.333333333333333</v>
      </c>
      <c r="G3" s="6">
        <f>IF(COUNTIFS(Fact_Jira_Issues!$D:$D,$A3,Fact_Jira_Issues!$N:$N,$C3,Fact_Jira_Issues!$M:$M,"Done")=0,0,COUNTIFS(Fact_Bug_Reports!$E:$E,$A3,Fact_Bug_Reports!$K:$K,$C3,Fact_Bug_Reports!$I:$I,"Yes")/COUNTIFS(Fact_Jira_Issues!$D:$D,$A3,Fact_Jira_Issues!$N:$N,$C3,Fact_Jira_Issues!$M:$M,"Done"))</f>
        <v>0.33333333333333331</v>
      </c>
      <c r="H3" s="2" t="str">
        <f t="shared" si="0"/>
        <v>Watch bottlenecks</v>
      </c>
    </row>
    <row r="4" spans="1:8" ht="25.95" customHeight="1" x14ac:dyDescent="0.3">
      <c r="A4" s="2" t="s">
        <v>230</v>
      </c>
      <c r="B4" s="2" t="s">
        <v>231</v>
      </c>
      <c r="C4" s="2" t="s">
        <v>256</v>
      </c>
      <c r="D4" s="2">
        <f>COUNTIFS(Dim_Developers!$C:$C,$A4)</f>
        <v>3</v>
      </c>
      <c r="E4" s="5">
        <f>IF(COUNTIFS(Fact_CI_Deployments!$F:$F,$A4,Fact_CI_Deployments!$L:$L,$C4,Fact_CI_Deployments!$H:$H,"prod",Fact_CI_Deployments!$K:$K,"success")=0,0,SUMIFS(Fact_CI_Deployments!$M:$M,Fact_CI_Deployments!$F:$F,$A4,Fact_CI_Deployments!$L:$L,$C4,Fact_CI_Deployments!$H:$H,"prod",Fact_CI_Deployments!$K:$K,"success")/COUNTIFS(Fact_CI_Deployments!$F:$F,$A4,Fact_CI_Deployments!$L:$L,$C4,Fact_CI_Deployments!$H:$H,"prod",Fact_CI_Deployments!$K:$K,"success"))</f>
        <v>3.0333333333333332</v>
      </c>
      <c r="F4" s="5">
        <f>IF(COUNTIFS(Fact_Jira_Issues!$D:$D,$A4,Fact_Jira_Issues!$N:$N,$C4,Fact_Jira_Issues!$M:$M,"Done")=0,0,SUMIFS(Fact_Jira_Issues!$O:$O,Fact_Jira_Issues!$D:$D,$A4,Fact_Jira_Issues!$N:$N,$C4,Fact_Jira_Issues!$M:$M,"Done")/COUNTIFS(Fact_Jira_Issues!$D:$D,$A4,Fact_Jira_Issues!$N:$N,$C4,Fact_Jira_Issues!$M:$M,"Done"))</f>
        <v>3.9000000000000004</v>
      </c>
      <c r="G4" s="6">
        <f>IF(COUNTIFS(Fact_Jira_Issues!$D:$D,$A4,Fact_Jira_Issues!$N:$N,$C4,Fact_Jira_Issues!$M:$M,"Done")=0,0,COUNTIFS(Fact_Bug_Reports!$E:$E,$A4,Fact_Bug_Reports!$K:$K,$C4,Fact_Bug_Reports!$I:$I,"Yes")/COUNTIFS(Fact_Jira_Issues!$D:$D,$A4,Fact_Jira_Issues!$N:$N,$C4,Fact_Jira_Issues!$M:$M,"Done"))</f>
        <v>0.16666666666666666</v>
      </c>
      <c r="H4" s="2" t="str">
        <f t="shared" si="0"/>
        <v>Watch bottlenecks</v>
      </c>
    </row>
    <row r="5" spans="1:8" ht="25.95" customHeight="1" x14ac:dyDescent="0.3">
      <c r="A5" s="2" t="s">
        <v>230</v>
      </c>
      <c r="B5" s="2" t="s">
        <v>231</v>
      </c>
      <c r="C5" s="2" t="s">
        <v>260</v>
      </c>
      <c r="D5" s="2">
        <f>COUNTIFS(Dim_Developers!$C:$C,$A5)</f>
        <v>3</v>
      </c>
      <c r="E5" s="5">
        <f>IF(COUNTIFS(Fact_CI_Deployments!$F:$F,$A5,Fact_CI_Deployments!$L:$L,$C5,Fact_CI_Deployments!$H:$H,"prod",Fact_CI_Deployments!$K:$K,"success")=0,0,SUMIFS(Fact_CI_Deployments!$M:$M,Fact_CI_Deployments!$F:$F,$A5,Fact_CI_Deployments!$L:$L,$C5,Fact_CI_Deployments!$H:$H,"prod",Fact_CI_Deployments!$K:$K,"success")/COUNTIFS(Fact_CI_Deployments!$F:$F,$A5,Fact_CI_Deployments!$L:$L,$C5,Fact_CI_Deployments!$H:$H,"prod",Fact_CI_Deployments!$K:$K,"success"))</f>
        <v>3.2833333333333332</v>
      </c>
      <c r="F5" s="5">
        <f>IF(COUNTIFS(Fact_Jira_Issues!$D:$D,$A5,Fact_Jira_Issues!$N:$N,$C5,Fact_Jira_Issues!$M:$M,"Done")=0,0,SUMIFS(Fact_Jira_Issues!$O:$O,Fact_Jira_Issues!$D:$D,$A5,Fact_Jira_Issues!$N:$N,$C5,Fact_Jira_Issues!$M:$M,"Done")/COUNTIFS(Fact_Jira_Issues!$D:$D,$A5,Fact_Jira_Issues!$N:$N,$C5,Fact_Jira_Issues!$M:$M,"Done"))</f>
        <v>3.4833333333333338</v>
      </c>
      <c r="G5" s="6">
        <f>IF(COUNTIFS(Fact_Jira_Issues!$D:$D,$A5,Fact_Jira_Issues!$N:$N,$C5,Fact_Jira_Issues!$M:$M,"Done")=0,0,COUNTIFS(Fact_Bug_Reports!$E:$E,$A5,Fact_Bug_Reports!$K:$K,$C5,Fact_Bug_Reports!$I:$I,"Yes")/COUNTIFS(Fact_Jira_Issues!$D:$D,$A5,Fact_Jira_Issues!$N:$N,$C5,Fact_Jira_Issues!$M:$M,"Done"))</f>
        <v>0.16666666666666666</v>
      </c>
      <c r="H5" s="2" t="str">
        <f t="shared" si="0"/>
        <v>Watch bottlenecks</v>
      </c>
    </row>
    <row r="6" spans="1:8" ht="25.95" customHeight="1" x14ac:dyDescent="0.3">
      <c r="A6" s="2" t="s">
        <v>240</v>
      </c>
      <c r="B6" s="2" t="s">
        <v>241</v>
      </c>
      <c r="C6" s="2" t="s">
        <v>256</v>
      </c>
      <c r="D6" s="2">
        <f>COUNTIFS(Dim_Developers!$C:$C,$A6)</f>
        <v>2</v>
      </c>
      <c r="E6" s="5">
        <f>IF(COUNTIFS(Fact_CI_Deployments!$F:$F,$A6,Fact_CI_Deployments!$L:$L,$C6,Fact_CI_Deployments!$H:$H,"prod",Fact_CI_Deployments!$K:$K,"success")=0,0,SUMIFS(Fact_CI_Deployments!$M:$M,Fact_CI_Deployments!$F:$F,$A6,Fact_CI_Deployments!$L:$L,$C6,Fact_CI_Deployments!$H:$H,"prod",Fact_CI_Deployments!$K:$K,"success")/COUNTIFS(Fact_CI_Deployments!$F:$F,$A6,Fact_CI_Deployments!$L:$L,$C6,Fact_CI_Deployments!$H:$H,"prod",Fact_CI_Deployments!$K:$K,"success"))</f>
        <v>4.625</v>
      </c>
      <c r="F6" s="5">
        <f>IF(COUNTIFS(Fact_Jira_Issues!$D:$D,$A6,Fact_Jira_Issues!$N:$N,$C6,Fact_Jira_Issues!$M:$M,"Done")=0,0,SUMIFS(Fact_Jira_Issues!$O:$O,Fact_Jira_Issues!$D:$D,$A6,Fact_Jira_Issues!$N:$N,$C6,Fact_Jira_Issues!$M:$M,"Done")/COUNTIFS(Fact_Jira_Issues!$D:$D,$A6,Fact_Jira_Issues!$N:$N,$C6,Fact_Jira_Issues!$M:$M,"Done"))</f>
        <v>5.25</v>
      </c>
      <c r="G6" s="6">
        <f>IF(COUNTIFS(Fact_Jira_Issues!$D:$D,$A6,Fact_Jira_Issues!$N:$N,$C6,Fact_Jira_Issues!$M:$M,"Done")=0,0,COUNTIFS(Fact_Bug_Reports!$E:$E,$A6,Fact_Bug_Reports!$K:$K,$C6,Fact_Bug_Reports!$I:$I,"Yes")/COUNTIFS(Fact_Jira_Issues!$D:$D,$A6,Fact_Jira_Issues!$N:$N,$C6,Fact_Jira_Issues!$M:$M,"Done"))</f>
        <v>0.5</v>
      </c>
      <c r="H6" s="2" t="str">
        <f t="shared" si="0"/>
        <v>Watch bottlenecks</v>
      </c>
    </row>
    <row r="7" spans="1:8" ht="25.95" customHeight="1" x14ac:dyDescent="0.3">
      <c r="A7" s="2" t="s">
        <v>240</v>
      </c>
      <c r="B7" s="2" t="s">
        <v>241</v>
      </c>
      <c r="C7" s="2" t="s">
        <v>260</v>
      </c>
      <c r="D7" s="2">
        <f>COUNTIFS(Dim_Developers!$C:$C,$A7)</f>
        <v>2</v>
      </c>
      <c r="E7" s="5">
        <f>IF(COUNTIFS(Fact_CI_Deployments!$F:$F,$A7,Fact_CI_Deployments!$L:$L,$C7,Fact_CI_Deployments!$H:$H,"prod",Fact_CI_Deployments!$K:$K,"success")=0,0,SUMIFS(Fact_CI_Deployments!$M:$M,Fact_CI_Deployments!$F:$F,$A7,Fact_CI_Deployments!$L:$L,$C7,Fact_CI_Deployments!$H:$H,"prod",Fact_CI_Deployments!$K:$K,"success")/COUNTIFS(Fact_CI_Deployments!$F:$F,$A7,Fact_CI_Deployments!$L:$L,$C7,Fact_CI_Deployments!$H:$H,"prod",Fact_CI_Deployments!$K:$K,"success"))</f>
        <v>4.1749999999999998</v>
      </c>
      <c r="F7" s="5">
        <f>IF(COUNTIFS(Fact_Jira_Issues!$D:$D,$A7,Fact_Jira_Issues!$N:$N,$C7,Fact_Jira_Issues!$M:$M,"Done")=0,0,SUMIFS(Fact_Jira_Issues!$O:$O,Fact_Jira_Issues!$D:$D,$A7,Fact_Jira_Issues!$N:$N,$C7,Fact_Jira_Issues!$M:$M,"Done")/COUNTIFS(Fact_Jira_Issues!$D:$D,$A7,Fact_Jira_Issues!$N:$N,$C7,Fact_Jira_Issues!$M:$M,"Done"))</f>
        <v>5.65</v>
      </c>
      <c r="G7" s="6">
        <f>IF(COUNTIFS(Fact_Jira_Issues!$D:$D,$A7,Fact_Jira_Issues!$N:$N,$C7,Fact_Jira_Issues!$M:$M,"Done")=0,0,COUNTIFS(Fact_Bug_Reports!$E:$E,$A7,Fact_Bug_Reports!$K:$K,$C7,Fact_Bug_Reports!$I:$I,"Yes")/COUNTIFS(Fact_Jira_Issues!$D:$D,$A7,Fact_Jira_Issues!$N:$N,$C7,Fact_Jira_Issues!$M:$M,"Done"))</f>
        <v>0</v>
      </c>
      <c r="H7" s="2" t="str">
        <f t="shared" si="0"/>
        <v>Healthy flow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"/>
  <sheetViews>
    <sheetView showGridLines="0" workbookViewId="0">
      <selection sqref="A1:H1"/>
    </sheetView>
  </sheetViews>
  <sheetFormatPr defaultRowHeight="14.4" x14ac:dyDescent="0.3"/>
  <cols>
    <col min="1" max="1" width="22" customWidth="1"/>
    <col min="2" max="2" width="60" customWidth="1"/>
    <col min="3" max="3" width="12" customWidth="1"/>
  </cols>
  <sheetData>
    <row r="1" spans="1:8" ht="21" x14ac:dyDescent="0.4">
      <c r="A1" s="18" t="s">
        <v>421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422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105</v>
      </c>
      <c r="B3" s="1" t="s">
        <v>423</v>
      </c>
      <c r="C3" s="1" t="s">
        <v>424</v>
      </c>
    </row>
    <row r="4" spans="1:8" ht="28.05" customHeight="1" x14ac:dyDescent="0.3">
      <c r="A4" s="1"/>
      <c r="B4" s="1"/>
      <c r="C4" s="1"/>
    </row>
    <row r="5" spans="1:8" ht="34.049999999999997" customHeight="1" x14ac:dyDescent="0.3">
      <c r="A5" s="2" t="s">
        <v>425</v>
      </c>
      <c r="B5" s="2" t="s">
        <v>426</v>
      </c>
      <c r="C5" s="2" t="s">
        <v>427</v>
      </c>
    </row>
    <row r="6" spans="1:8" ht="34.049999999999997" customHeight="1" x14ac:dyDescent="0.3">
      <c r="A6" s="2" t="s">
        <v>428</v>
      </c>
      <c r="B6" s="2" t="s">
        <v>429</v>
      </c>
      <c r="C6" s="2" t="s">
        <v>427</v>
      </c>
    </row>
    <row r="7" spans="1:8" ht="34.049999999999997" customHeight="1" x14ac:dyDescent="0.3">
      <c r="A7" s="2" t="s">
        <v>430</v>
      </c>
      <c r="B7" s="2" t="s">
        <v>431</v>
      </c>
      <c r="C7" s="2" t="s">
        <v>432</v>
      </c>
    </row>
    <row r="8" spans="1:8" ht="34.049999999999997" customHeight="1" x14ac:dyDescent="0.3">
      <c r="A8" s="2" t="s">
        <v>433</v>
      </c>
      <c r="B8" s="2" t="s">
        <v>434</v>
      </c>
      <c r="C8" s="2" t="s">
        <v>432</v>
      </c>
    </row>
    <row r="9" spans="1:8" ht="34.049999999999997" customHeight="1" x14ac:dyDescent="0.3">
      <c r="A9" s="2" t="s">
        <v>435</v>
      </c>
      <c r="B9" s="2" t="s">
        <v>436</v>
      </c>
      <c r="C9" s="2" t="s">
        <v>432</v>
      </c>
    </row>
    <row r="10" spans="1:8" ht="34.049999999999997" customHeight="1" x14ac:dyDescent="0.3">
      <c r="A10" s="2" t="s">
        <v>437</v>
      </c>
      <c r="B10" s="2" t="s">
        <v>438</v>
      </c>
      <c r="C10" s="2" t="s">
        <v>432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3"/>
  <sheetViews>
    <sheetView showGridLines="0" workbookViewId="0">
      <selection activeCell="E22" sqref="E22"/>
    </sheetView>
  </sheetViews>
  <sheetFormatPr defaultRowHeight="14.4" x14ac:dyDescent="0.3"/>
  <cols>
    <col min="1" max="1" width="22" customWidth="1"/>
    <col min="2" max="3" width="10" customWidth="1"/>
    <col min="4" max="4" width="12" customWidth="1"/>
    <col min="5" max="5" width="50" customWidth="1"/>
  </cols>
  <sheetData>
    <row r="1" spans="1:8" ht="21" x14ac:dyDescent="0.4">
      <c r="A1" s="18" t="s">
        <v>439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440</v>
      </c>
      <c r="B2" s="17"/>
      <c r="C2" s="17"/>
      <c r="D2" s="17"/>
      <c r="E2" s="17"/>
      <c r="F2" s="17"/>
      <c r="G2" s="17"/>
      <c r="H2" s="17"/>
    </row>
    <row r="4" spans="1:8" x14ac:dyDescent="0.3">
      <c r="A4" s="13" t="s">
        <v>441</v>
      </c>
      <c r="C4" s="13" t="s">
        <v>442</v>
      </c>
    </row>
    <row r="6" spans="1:8" ht="28.05" customHeight="1" x14ac:dyDescent="0.3">
      <c r="A6" s="1" t="s">
        <v>105</v>
      </c>
      <c r="B6" s="1" t="s">
        <v>424</v>
      </c>
      <c r="C6" s="1" t="s">
        <v>443</v>
      </c>
      <c r="D6" s="1" t="s">
        <v>444</v>
      </c>
      <c r="E6" s="1" t="s">
        <v>445</v>
      </c>
    </row>
    <row r="7" spans="1:8" ht="24" customHeight="1" x14ac:dyDescent="0.3">
      <c r="A7" s="2" t="s">
        <v>425</v>
      </c>
      <c r="B7" s="14">
        <v>0.2</v>
      </c>
      <c r="C7" s="2"/>
      <c r="D7" s="2">
        <f t="shared" ref="D7:D12" si="0">B7*C7</f>
        <v>0</v>
      </c>
      <c r="E7" s="2"/>
    </row>
    <row r="8" spans="1:8" ht="24" customHeight="1" x14ac:dyDescent="0.3">
      <c r="A8" s="2" t="s">
        <v>428</v>
      </c>
      <c r="B8" s="14">
        <v>0.2</v>
      </c>
      <c r="C8" s="2"/>
      <c r="D8" s="2">
        <f t="shared" si="0"/>
        <v>0</v>
      </c>
      <c r="E8" s="2"/>
    </row>
    <row r="9" spans="1:8" ht="24" customHeight="1" x14ac:dyDescent="0.3">
      <c r="A9" s="2" t="s">
        <v>430</v>
      </c>
      <c r="B9" s="14">
        <v>0.15</v>
      </c>
      <c r="C9" s="2"/>
      <c r="D9" s="2">
        <f t="shared" si="0"/>
        <v>0</v>
      </c>
      <c r="E9" s="2"/>
    </row>
    <row r="10" spans="1:8" ht="24" customHeight="1" x14ac:dyDescent="0.3">
      <c r="A10" s="2" t="s">
        <v>433</v>
      </c>
      <c r="B10" s="14">
        <v>0.15</v>
      </c>
      <c r="C10" s="2"/>
      <c r="D10" s="2">
        <f t="shared" si="0"/>
        <v>0</v>
      </c>
      <c r="E10" s="2"/>
    </row>
    <row r="11" spans="1:8" ht="24" customHeight="1" x14ac:dyDescent="0.3">
      <c r="A11" s="2" t="s">
        <v>435</v>
      </c>
      <c r="B11" s="14">
        <v>0.15</v>
      </c>
      <c r="C11" s="2"/>
      <c r="D11" s="2">
        <f t="shared" si="0"/>
        <v>0</v>
      </c>
      <c r="E11" s="2"/>
    </row>
    <row r="12" spans="1:8" ht="24" customHeight="1" x14ac:dyDescent="0.3">
      <c r="A12" s="2" t="s">
        <v>437</v>
      </c>
      <c r="B12" s="14">
        <v>0.15</v>
      </c>
      <c r="C12" s="2"/>
      <c r="D12" s="2">
        <f t="shared" si="0"/>
        <v>0</v>
      </c>
      <c r="E12" s="2"/>
    </row>
    <row r="13" spans="1:8" ht="24" customHeight="1" x14ac:dyDescent="0.3">
      <c r="A13" s="15" t="s">
        <v>446</v>
      </c>
      <c r="B13" s="2"/>
      <c r="C13" s="2"/>
      <c r="D13" s="15">
        <f>SUM(D7:D12)</f>
        <v>0</v>
      </c>
      <c r="E13" s="2"/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9"/>
  <sheetViews>
    <sheetView showGridLines="0" workbookViewId="0"/>
  </sheetViews>
  <sheetFormatPr defaultRowHeight="14.4" x14ac:dyDescent="0.3"/>
  <cols>
    <col min="1" max="1" width="26" customWidth="1"/>
    <col min="2" max="2" width="72" customWidth="1"/>
  </cols>
  <sheetData>
    <row r="1" spans="1:8" ht="21" x14ac:dyDescent="0.4">
      <c r="A1" s="18" t="s">
        <v>447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448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117</v>
      </c>
      <c r="B3" s="1" t="s">
        <v>449</v>
      </c>
    </row>
    <row r="4" spans="1:8" ht="28.05" customHeight="1" x14ac:dyDescent="0.3">
      <c r="A4" s="1"/>
      <c r="B4" s="1"/>
    </row>
    <row r="5" spans="1:8" ht="34.049999999999997" customHeight="1" x14ac:dyDescent="0.3">
      <c r="A5" s="2" t="s">
        <v>450</v>
      </c>
      <c r="B5" s="2" t="s">
        <v>451</v>
      </c>
    </row>
    <row r="6" spans="1:8" ht="34.049999999999997" customHeight="1" x14ac:dyDescent="0.3">
      <c r="A6" s="2" t="s">
        <v>452</v>
      </c>
      <c r="B6" s="2" t="s">
        <v>453</v>
      </c>
    </row>
    <row r="7" spans="1:8" ht="34.049999999999997" customHeight="1" x14ac:dyDescent="0.3">
      <c r="A7" s="2" t="s">
        <v>454</v>
      </c>
      <c r="B7" s="2" t="s">
        <v>455</v>
      </c>
    </row>
    <row r="8" spans="1:8" ht="34.049999999999997" customHeight="1" x14ac:dyDescent="0.3">
      <c r="A8" s="2" t="s">
        <v>456</v>
      </c>
      <c r="B8" s="2" t="s">
        <v>457</v>
      </c>
    </row>
    <row r="9" spans="1:8" ht="34.049999999999997" customHeight="1" x14ac:dyDescent="0.3">
      <c r="A9" s="2" t="s">
        <v>458</v>
      </c>
      <c r="B9" s="2" t="s">
        <v>459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Start_Here</vt:lpstr>
      <vt:lpstr>Developer_Productivity_Brief</vt:lpstr>
      <vt:lpstr>Assignment_Steps</vt:lpstr>
      <vt:lpstr>AI_Guide</vt:lpstr>
      <vt:lpstr>Submission_Checklist</vt:lpstr>
      <vt:lpstr>Data_Model_Overview</vt:lpstr>
      <vt:lpstr>Data_Dictionary</vt:lpstr>
      <vt:lpstr>Dim_Developers</vt:lpstr>
      <vt:lpstr>Fact_Jira_Issues</vt:lpstr>
      <vt:lpstr>Fact_Pull_Requests</vt:lpstr>
      <vt:lpstr>Fact_CI_Deployments</vt:lpstr>
      <vt:lpstr>Fact_Bug_Reports</vt:lpstr>
      <vt:lpstr>Metric_Examples</vt:lpstr>
      <vt:lpstr>IC_Sample_View</vt:lpstr>
      <vt:lpstr>Manager_Sample_View</vt:lpstr>
      <vt:lpstr>Rubric</vt:lpstr>
      <vt:lpstr>Reviewer_Scorecard</vt:lpstr>
      <vt:lpstr>Reviewer_Guide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Debargha Pramanik</cp:lastModifiedBy>
  <dcterms:modified xsi:type="dcterms:W3CDTF">2026-04-28T12:09:09Z</dcterms:modified>
</cp:coreProperties>
</file>